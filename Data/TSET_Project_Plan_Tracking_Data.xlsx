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showInkAnnotation="0" codeName="ThisWorkbook" autoCompressPictures="0"/>
  <mc:AlternateContent xmlns:mc="http://schemas.openxmlformats.org/markup-compatibility/2006">
    <mc:Choice Requires="x15">
      <x15ac:absPath xmlns:x15ac="http://schemas.microsoft.com/office/spreadsheetml/2010/11/ac" url="C:\Users\marlinc\Desktop\TSET_Project-Plan_Dashboard\Data\"/>
    </mc:Choice>
  </mc:AlternateContent>
  <xr:revisionPtr revIDLastSave="0" documentId="13_ncr:1_{1330102A-B167-4494-B95F-8ADA65CE059A}" xr6:coauthVersionLast="47" xr6:coauthVersionMax="47" xr10:uidLastSave="{00000000-0000-0000-0000-000000000000}"/>
  <bookViews>
    <workbookView xWindow="27540" yWindow="-108" windowWidth="30936" windowHeight="16776" tabRatio="735" activeTab="1" xr2:uid="{00000000-000D-0000-FFFF-FFFF00000000}"/>
  </bookViews>
  <sheets>
    <sheet name="Instructions" sheetId="7" r:id="rId1"/>
    <sheet name="Project Plan" sheetId="6" r:id="rId2"/>
    <sheet name="Dashboard_Data" sheetId="10" r:id="rId3"/>
  </sheets>
  <definedNames>
    <definedName name="_xlnm.Print_Area" localSheetId="1">'Project Plan'!$A$1:$L$12</definedName>
  </definedNames>
  <calcPr calcId="191028"/>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D2" i="10" l="1"/>
  <c r="E2" i="10"/>
  <c r="F2" i="10"/>
  <c r="G2" i="10"/>
  <c r="H2" i="10"/>
  <c r="I2" i="10"/>
  <c r="J2" i="10"/>
  <c r="D3" i="10"/>
  <c r="E3" i="10"/>
  <c r="F3" i="10"/>
  <c r="G3" i="10"/>
  <c r="H3" i="10"/>
  <c r="I3" i="10"/>
  <c r="J3" i="10"/>
  <c r="D4" i="10"/>
  <c r="E4" i="10"/>
  <c r="F4" i="10"/>
  <c r="G4" i="10"/>
  <c r="H4" i="10"/>
  <c r="I4" i="10"/>
  <c r="J4" i="10"/>
  <c r="D5" i="10"/>
  <c r="E5" i="10"/>
  <c r="F5" i="10"/>
  <c r="G5" i="10"/>
  <c r="H5" i="10"/>
  <c r="I5" i="10"/>
  <c r="J5" i="10"/>
  <c r="D6" i="10"/>
  <c r="E6" i="10"/>
  <c r="F6" i="10"/>
  <c r="G6" i="10"/>
  <c r="H6" i="10"/>
  <c r="I6" i="10"/>
  <c r="J6" i="10"/>
  <c r="D7" i="10"/>
  <c r="E7" i="10"/>
  <c r="F7" i="10"/>
  <c r="G7" i="10"/>
  <c r="H7" i="10"/>
  <c r="I7" i="10"/>
  <c r="J7" i="10"/>
  <c r="D8" i="10"/>
  <c r="E8" i="10"/>
  <c r="F8" i="10"/>
  <c r="G8" i="10"/>
  <c r="H8" i="10"/>
  <c r="I8" i="10"/>
  <c r="J8" i="10"/>
  <c r="D9" i="10"/>
  <c r="E9" i="10"/>
  <c r="F9" i="10"/>
  <c r="G9" i="10"/>
  <c r="H9" i="10"/>
  <c r="I9" i="10"/>
  <c r="J9" i="10"/>
  <c r="D10" i="10"/>
  <c r="E10" i="10"/>
  <c r="F10" i="10"/>
  <c r="G10" i="10"/>
  <c r="H10" i="10"/>
  <c r="I10" i="10"/>
  <c r="J10" i="10"/>
  <c r="D11" i="10"/>
  <c r="E11" i="10"/>
  <c r="F11" i="10"/>
  <c r="G11" i="10"/>
  <c r="H11" i="10"/>
  <c r="I11" i="10"/>
  <c r="J11" i="10"/>
  <c r="C3" i="10"/>
  <c r="C4" i="10"/>
  <c r="C5" i="10"/>
  <c r="C6" i="10"/>
  <c r="C7" i="10"/>
  <c r="C8" i="10"/>
  <c r="C9" i="10"/>
  <c r="C10" i="10"/>
  <c r="C11" i="10"/>
  <c r="C2" i="10"/>
  <c r="C31" i="10"/>
  <c r="D12" i="10"/>
  <c r="E12" i="10"/>
  <c r="F12" i="10"/>
  <c r="G12" i="10"/>
  <c r="H12" i="10"/>
  <c r="I12" i="10"/>
  <c r="J12" i="10"/>
  <c r="D13" i="10"/>
  <c r="E13" i="10"/>
  <c r="F13" i="10"/>
  <c r="G13" i="10"/>
  <c r="H13" i="10"/>
  <c r="I13" i="10"/>
  <c r="J13" i="10"/>
  <c r="D14" i="10"/>
  <c r="E14" i="10"/>
  <c r="F14" i="10"/>
  <c r="G14" i="10"/>
  <c r="H14" i="10"/>
  <c r="I14" i="10"/>
  <c r="J14" i="10"/>
  <c r="D15" i="10"/>
  <c r="E15" i="10"/>
  <c r="F15" i="10"/>
  <c r="G15" i="10"/>
  <c r="H15" i="10"/>
  <c r="I15" i="10"/>
  <c r="J15" i="10"/>
  <c r="D16" i="10"/>
  <c r="E16" i="10"/>
  <c r="F16" i="10"/>
  <c r="G16" i="10"/>
  <c r="H16" i="10"/>
  <c r="I16" i="10"/>
  <c r="J16" i="10"/>
  <c r="D17" i="10"/>
  <c r="E17" i="10"/>
  <c r="F17" i="10"/>
  <c r="G17" i="10"/>
  <c r="H17" i="10"/>
  <c r="I17" i="10"/>
  <c r="J17" i="10"/>
  <c r="D18" i="10"/>
  <c r="E18" i="10"/>
  <c r="F18" i="10"/>
  <c r="G18" i="10"/>
  <c r="H18" i="10"/>
  <c r="I18" i="10"/>
  <c r="J18" i="10"/>
  <c r="D19" i="10"/>
  <c r="E19" i="10"/>
  <c r="F19" i="10"/>
  <c r="G19" i="10"/>
  <c r="H19" i="10"/>
  <c r="I19" i="10"/>
  <c r="J19" i="10"/>
  <c r="D20" i="10"/>
  <c r="E20" i="10"/>
  <c r="F20" i="10"/>
  <c r="G20" i="10"/>
  <c r="H20" i="10"/>
  <c r="I20" i="10"/>
  <c r="J20" i="10"/>
  <c r="D21" i="10"/>
  <c r="E21" i="10"/>
  <c r="F21" i="10"/>
  <c r="G21" i="10"/>
  <c r="H21" i="10"/>
  <c r="I21" i="10"/>
  <c r="J21" i="10"/>
  <c r="D22" i="10"/>
  <c r="E22" i="10"/>
  <c r="F22" i="10"/>
  <c r="G22" i="10"/>
  <c r="H22" i="10"/>
  <c r="I22" i="10"/>
  <c r="J22" i="10"/>
  <c r="D23" i="10"/>
  <c r="E23" i="10"/>
  <c r="F23" i="10"/>
  <c r="G23" i="10"/>
  <c r="H23" i="10"/>
  <c r="I23" i="10"/>
  <c r="J23" i="10"/>
  <c r="D24" i="10"/>
  <c r="E24" i="10"/>
  <c r="F24" i="10"/>
  <c r="G24" i="10"/>
  <c r="H24" i="10"/>
  <c r="I24" i="10"/>
  <c r="J24" i="10"/>
  <c r="D25" i="10"/>
  <c r="E25" i="10"/>
  <c r="F25" i="10"/>
  <c r="G25" i="10"/>
  <c r="H25" i="10"/>
  <c r="I25" i="10"/>
  <c r="J25" i="10"/>
  <c r="D26" i="10"/>
  <c r="E26" i="10"/>
  <c r="F26" i="10"/>
  <c r="G26" i="10"/>
  <c r="H26" i="10"/>
  <c r="I26" i="10"/>
  <c r="J26" i="10"/>
  <c r="D27" i="10"/>
  <c r="E27" i="10"/>
  <c r="F27" i="10"/>
  <c r="G27" i="10"/>
  <c r="H27" i="10"/>
  <c r="I27" i="10"/>
  <c r="J27" i="10"/>
  <c r="D28" i="10"/>
  <c r="E28" i="10"/>
  <c r="F28" i="10"/>
  <c r="G28" i="10"/>
  <c r="H28" i="10"/>
  <c r="I28" i="10"/>
  <c r="J28" i="10"/>
  <c r="D29" i="10"/>
  <c r="E29" i="10"/>
  <c r="F29" i="10"/>
  <c r="G29" i="10"/>
  <c r="H29" i="10"/>
  <c r="I29" i="10"/>
  <c r="J29" i="10"/>
  <c r="D30" i="10"/>
  <c r="E30" i="10"/>
  <c r="F30" i="10"/>
  <c r="G30" i="10"/>
  <c r="H30" i="10"/>
  <c r="I30" i="10"/>
  <c r="J30" i="10"/>
  <c r="D31" i="10"/>
  <c r="E31" i="10"/>
  <c r="F31" i="10"/>
  <c r="G31" i="10"/>
  <c r="H31" i="10"/>
  <c r="I31" i="10"/>
  <c r="J31" i="10"/>
  <c r="D32" i="10"/>
  <c r="E32" i="10"/>
  <c r="F32" i="10"/>
  <c r="G32" i="10"/>
  <c r="H32" i="10"/>
  <c r="I32" i="10"/>
  <c r="J32" i="10"/>
  <c r="D33" i="10"/>
  <c r="E33" i="10"/>
  <c r="F33" i="10"/>
  <c r="G33" i="10"/>
  <c r="H33" i="10"/>
  <c r="I33" i="10"/>
  <c r="J33" i="10"/>
  <c r="D34" i="10"/>
  <c r="E34" i="10"/>
  <c r="F34" i="10"/>
  <c r="G34" i="10"/>
  <c r="H34" i="10"/>
  <c r="I34" i="10"/>
  <c r="J34" i="10"/>
  <c r="D35" i="10"/>
  <c r="E35" i="10"/>
  <c r="F35" i="10"/>
  <c r="G35" i="10"/>
  <c r="H35" i="10"/>
  <c r="I35" i="10"/>
  <c r="J35" i="10"/>
  <c r="C13" i="10"/>
  <c r="C14" i="10"/>
  <c r="C15" i="10"/>
  <c r="C16" i="10"/>
  <c r="C17" i="10"/>
  <c r="C18" i="10"/>
  <c r="C19" i="10"/>
  <c r="C20" i="10"/>
  <c r="C21" i="10"/>
  <c r="C22" i="10"/>
  <c r="C23" i="10"/>
  <c r="C24" i="10"/>
  <c r="C25" i="10"/>
  <c r="C26" i="10"/>
  <c r="C27" i="10"/>
  <c r="C28" i="10"/>
  <c r="C29" i="10"/>
  <c r="C30" i="10"/>
  <c r="C32" i="10"/>
  <c r="C33" i="10"/>
  <c r="C34" i="10"/>
  <c r="C35" i="10"/>
  <c r="C12" i="10"/>
  <c r="D36" i="10" a="1"/>
  <c r="D36" i="10" s="1"/>
  <c r="E36" i="10" a="1"/>
  <c r="E36" i="10" s="1"/>
  <c r="F36" i="10" a="1"/>
  <c r="F36" i="10" s="1"/>
  <c r="G36" i="10" a="1"/>
  <c r="G36" i="10" s="1"/>
  <c r="H36" i="10" a="1"/>
  <c r="H36" i="10" s="1"/>
  <c r="I36" i="10" a="1"/>
  <c r="I36" i="10" s="1"/>
  <c r="J36" i="10" a="1"/>
  <c r="J36" i="10" s="1"/>
  <c r="C36" i="10" a="1"/>
  <c r="C36"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tc={CC0B3EC8-4D04-4DED-934C-AF0E2BE58BA8}</author>
    <author>Andrew Underkoffler</author>
    <author>tc={EB6E79B3-5954-414E-9B1E-85E748524323}</author>
  </authors>
  <commentList>
    <comment ref="A2" authorId="0" shapeId="0" xr:uid="{CC0B3EC8-4D04-4DED-934C-AF0E2BE58BA8}">
      <text>
        <t>[Threaded comment]
Your version of Excel allows you to read this threaded comment; however, any edits to it will get removed if the file is opened in a newer version of Excel. Learn more: https://go.microsoft.com/fwlink/?linkid=870924
Comment:
    Recommend noting exactly which milestones that TSET would be funding and aligning with the budget</t>
      </text>
    </comment>
    <comment ref="G2" authorId="1" shapeId="0" xr:uid="{93D9613C-2292-42D4-81AA-0C1A83442D8C}">
      <text>
        <r>
          <rPr>
            <sz val="9"/>
            <color indexed="81"/>
            <rFont val="Tahoma"/>
            <charset val="1"/>
          </rPr>
          <t xml:space="preserve">Click cell for drop down menu
</t>
        </r>
      </text>
    </comment>
    <comment ref="G14" authorId="1" shapeId="0" xr:uid="{7808D1FE-A887-49E6-94F8-0E31DEBBD4A8}">
      <text>
        <r>
          <rPr>
            <sz val="9"/>
            <color indexed="81"/>
            <rFont val="Tahoma"/>
            <charset val="1"/>
          </rPr>
          <t xml:space="preserve">Click cell for drop down menu
</t>
        </r>
      </text>
    </comment>
    <comment ref="A31" authorId="2" shapeId="0" xr:uid="{EB6E79B3-5954-414E-9B1E-85E748524323}">
      <text>
        <t>[Threaded comment]
Your version of Excel allows you to read this threaded comment; however, any edits to it will get removed if the file is opened in a newer version of Excel. Learn more: https://go.microsoft.com/fwlink/?linkid=870924
Comment:
    Recommend incorporating a milestone for TSET and tobacco free signage installation
Reply:
    Added signage installation to row 22 but can move elsewhere as needed.</t>
      </text>
    </comment>
    <comment ref="G40" authorId="1" shapeId="0" xr:uid="{816ABFAE-E650-4993-A715-86CAAB397D14}">
      <text>
        <r>
          <rPr>
            <sz val="9"/>
            <color indexed="81"/>
            <rFont val="Tahoma"/>
            <charset val="1"/>
          </rPr>
          <t xml:space="preserve">Click cell for drop down menu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<sst xmlns="http://schemas.openxmlformats.org/spreadsheetml/2006/main" count="337" uniqueCount="106">
  <si>
    <t>Project Plan Instructions</t>
  </si>
  <si>
    <r>
      <rPr>
        <sz val="16"/>
        <color rgb="FF000000"/>
        <rFont val="Arial"/>
      </rPr>
      <t xml:space="preserve">The project plan is meant to capture key project milestones intended to be met during the lifetime of the project. Details of the project plan will be dependent upon the scope associated with the project and may look differently if funded for the development of a plan versus construction. A project plan should be completed for each year of funding awarded. Not all projects will have a full 12 month implementation period, so please be sure to align your project plan with the funding timeline associated with your award. 
An example project plan is provided in the </t>
    </r>
    <r>
      <rPr>
        <b/>
        <sz val="16"/>
        <color rgb="FF7030A0"/>
        <rFont val="Arial"/>
      </rPr>
      <t>purple tab</t>
    </r>
    <r>
      <rPr>
        <sz val="16"/>
        <color rgb="FF000000"/>
        <rFont val="Arial"/>
      </rPr>
      <t xml:space="preserve">. Please review the example project plan before developing your own to ensure that your project plan is completed with all required details.The project plan template in the </t>
    </r>
    <r>
      <rPr>
        <b/>
        <sz val="16"/>
        <color rgb="FF00B050"/>
        <rFont val="Arial"/>
      </rPr>
      <t>green tab</t>
    </r>
    <r>
      <rPr>
        <b/>
        <sz val="16"/>
        <rFont val="Arial"/>
        <family val="2"/>
      </rPr>
      <t xml:space="preserve"> </t>
    </r>
    <r>
      <rPr>
        <sz val="16"/>
        <rFont val="Arial"/>
        <family val="2"/>
      </rPr>
      <t>is for planning purposes only. You will enter your project plan directly into your application via Salesforce.</t>
    </r>
    <r>
      <rPr>
        <sz val="16"/>
        <color rgb="FF000000"/>
        <rFont val="Arial"/>
      </rPr>
      <t xml:space="preserve">
</t>
    </r>
  </si>
  <si>
    <t>Project Milestones:</t>
  </si>
  <si>
    <t>Project milestones should be considered as key tasks needed to occur to see the project through to completion.</t>
  </si>
  <si>
    <t>Task Assigned to:</t>
  </si>
  <si>
    <t>Should include the person(s) responsible for seeing the milestone through to completion.  Tasks may be assigned to the applicant agency staff and/or subcontractors that are hired to do the work.</t>
  </si>
  <si>
    <t>Begin by:</t>
  </si>
  <si>
    <t>Begin by date should be the date by which work on the milestone should begin</t>
  </si>
  <si>
    <t>End by:</t>
  </si>
  <si>
    <t>End by date should be the date by which the milestone should be met.</t>
  </si>
  <si>
    <t>Actual Start Date:</t>
  </si>
  <si>
    <t>Start date by which the task actually began.</t>
  </si>
  <si>
    <t>Actual End Date:</t>
  </si>
  <si>
    <t>End date by which the task actually ended.</t>
  </si>
  <si>
    <t>Task Status:</t>
  </si>
  <si>
    <t>Click on the cell to reveal a drop down menu with three options (Not Started, In Progress, Complete)</t>
  </si>
  <si>
    <t>Notes:</t>
  </si>
  <si>
    <t>Enter any relevant notes to the associated milestone. Notes may include steps still needed, any challenges, successes, questions, etc. Should there be any potential risks or issues encountered, please document those in the notes section for the appropriate milestone(s).</t>
  </si>
  <si>
    <t xml:space="preserve">Year 1 </t>
  </si>
  <si>
    <t>Project Milestones</t>
  </si>
  <si>
    <t>Task Assigned to</t>
  </si>
  <si>
    <t>Begin by</t>
  </si>
  <si>
    <t>End by</t>
  </si>
  <si>
    <t>Actual Start Date</t>
  </si>
  <si>
    <t>Actual End Date</t>
  </si>
  <si>
    <t xml:space="preserve">Task Status </t>
  </si>
  <si>
    <t>Notes</t>
  </si>
  <si>
    <t>Not Started</t>
  </si>
  <si>
    <t>Year 3</t>
  </si>
  <si>
    <t>Site evaluation, surveying, civil engineering assessments, design development, supplier/contractor selection, and permitting for the Advanced Human Imaging Center already underway and will be completed by 12/31/2025.</t>
  </si>
  <si>
    <t>Contractors</t>
  </si>
  <si>
    <t>TIHO/AHIF Interior Framing - Majority of Building Complete</t>
  </si>
  <si>
    <t>TIHO - assemble internal and external advisory committees</t>
  </si>
  <si>
    <t>TIHO Leadership Faculty</t>
  </si>
  <si>
    <t>TIHO - OMRF staff duties assignments</t>
  </si>
  <si>
    <t>Telehealth and Distributed Trial Hub - search for and secure coordinator</t>
  </si>
  <si>
    <t>Telehealth and Distributed Trial Hub - meet with consultants to develop and implement tools for distant monitoring</t>
  </si>
  <si>
    <t>TSET Hubs staff</t>
  </si>
  <si>
    <t>Biorepository Hub - establish TIHO biorepository, transition samples into the TIHO biorepository, develop sample sharing processes/policies</t>
  </si>
  <si>
    <t>TSET Biorepository staff</t>
  </si>
  <si>
    <t>Human Performance Hub - develop educational content</t>
  </si>
  <si>
    <t>TSET Human Performance Hub staff</t>
  </si>
  <si>
    <t>Year 2</t>
  </si>
  <si>
    <t>TIHO/AHIF - Commissioning and Punch</t>
  </si>
  <si>
    <t>TIHO/AHIF - Final Inspections</t>
  </si>
  <si>
    <t>TIHO/AHIF - Certificate of Occupancy</t>
  </si>
  <si>
    <t>TIHO/AHIF - Grand Opening Ribbon Cutting Ceremony</t>
  </si>
  <si>
    <t>TIHO Leadership Faculty, TSET Hubs Staff, TSET Leadership, OMRF Leadership, Community Leaders</t>
  </si>
  <si>
    <t>Clinical Research and Informatics Hub - search for and secure medical director</t>
  </si>
  <si>
    <t>Establish healthspan and healthy aging cohort</t>
  </si>
  <si>
    <t>Recruit and onboard telehealth and mobile outreach sites</t>
  </si>
  <si>
    <t>Implement participant testing</t>
  </si>
  <si>
    <t>TEST Hubs staff</t>
  </si>
  <si>
    <t>Establish and launch community engagement and outreach plan</t>
  </si>
  <si>
    <t>Establish participant database</t>
  </si>
  <si>
    <t>Build healthy aging cohort</t>
  </si>
  <si>
    <t>Conduct clinical trials</t>
  </si>
  <si>
    <t>Continue community engagement and mobile outreach</t>
  </si>
  <si>
    <t>Conduct patient education</t>
  </si>
  <si>
    <t>TSET funding support for TDT Coordinator</t>
  </si>
  <si>
    <t xml:space="preserve">Supported by TSET funding for staffing including TIHO project manager, TSET Biorepository Hub Manager/Technician, CRI Hub Database Manager, CRI Hub Data Librarian/Data Analyst, and HPH: Project Manager. Funds will also be used to purchase an annual subscription for the NIH Toolbox that will be used to administer various standardized cognitive tests as well as computing storage and infrastructure. </t>
  </si>
  <si>
    <t>Supported by TSET funding for construction</t>
  </si>
  <si>
    <t>Supported by TSET funding Telehealth consultant costs to develop and implement tools for distant monitoring, such as thermograms, cardiac monitoring, etc. The OCTSI/OSCTR has built an Evaluation Core which provides external Evaluation for OCTSI/OSCTR Programs and has also done multiple evaluation programs for tribal facilities, the Tribal Epidemiology Unit, and other organizations. Dr. Janis Campbell is an Associate Professor at the adjacent OUHSC and she and her unit will be hired to perform evaluation services for the TIHO. The approximate $6.4M requested will finish out the 2nd and 3rd floors of the Advanced Human Imaging Center for which over $7.45M is already raised as matching funds. These renovations include all architectural and design services, site prep, contractor activitities, plumbing, electrical, technology, furniture, fixtures and equipment. Detailed bids and cost estimates are available as needed.</t>
  </si>
  <si>
    <t xml:space="preserve">Supported by TSET funding for finishes </t>
  </si>
  <si>
    <t>TIHO/AHIF - Install equipment, signage and FFE (Furniture, Fixtures, and Equipment)</t>
  </si>
  <si>
    <t>TSET funds will be used to support the installation of equipment to the 2nd and 3rd floors, including Computing connection it I2, computing cabelling, high performance computing nodes and storage for CRI/TDT, ECG and Benchtop centrifuge (Eppendorf Centrifuge 5810R) for HPH, and clinical Exam Room Equipment (exam table, patient chairs, physician stool, EMR work station) for the CRI. Funding will also be used to install TSET and Tobacco-Free signage.</t>
  </si>
  <si>
    <t>TSET funding will be used to support rural practice telehealth and clinical research training workshops</t>
  </si>
  <si>
    <t>TSET funding will be used to support patient education programs</t>
  </si>
  <si>
    <t>Supported by TSET funding</t>
  </si>
  <si>
    <t>Supported by TSET funding for final inspections</t>
  </si>
  <si>
    <t>Supported by TSET funding for certificate of occupancy</t>
  </si>
  <si>
    <t>Partial TSET funding support for ribbon cutting ceremony</t>
  </si>
  <si>
    <t>Partial TSET funding support for CRI Director</t>
  </si>
  <si>
    <t>To include partial TSET funding support for HPH Director and Project Manager</t>
  </si>
  <si>
    <t>TSET funding support for TDT Coordinator OCTSI Community Engagement Services (OPHIC), rural practice telehealth and clinical research training workshops and  support patient education programs</t>
  </si>
  <si>
    <t xml:space="preserve">TIHO Human Performance Hub - renovations </t>
  </si>
  <si>
    <t>Supported by TSET funding for renovation of Ground Floor in the OMRF Tower</t>
  </si>
  <si>
    <t>TIHO/AHIF Demo and Site Utility Construction</t>
  </si>
  <si>
    <t xml:space="preserve">TIHO/AHIF Earthwork and Foundation </t>
  </si>
  <si>
    <t>TIHO/AHIF Steel Structure Erection &amp; Elevated Slabs</t>
  </si>
  <si>
    <t>TIHO/AHIF Exterior Framing, Sheathing, and Waterproofing</t>
  </si>
  <si>
    <t xml:space="preserve">TIHO/AHIF Roofing </t>
  </si>
  <si>
    <t xml:space="preserve">Preconstruction Tasks: Design Scope, Estimates, Relocation of Utilities, Permits </t>
  </si>
  <si>
    <t>Contractors, OMRF Facilities, TIHO Leadership</t>
  </si>
  <si>
    <t xml:space="preserve">TIHO/AHIF Exterior Veneers </t>
  </si>
  <si>
    <t xml:space="preserve">TIHO/AHIF Curtainwall and Windows </t>
  </si>
  <si>
    <t>TIHO/AHIF MEP Rough</t>
  </si>
  <si>
    <t>TIHO/AHIF In-wall Rough-In</t>
  </si>
  <si>
    <t>TIHO/AHIF Sheetrock, Tape, Bed, Paint</t>
  </si>
  <si>
    <t xml:space="preserve">TIHO/AHIF Ceilings </t>
  </si>
  <si>
    <t xml:space="preserve">Contractors </t>
  </si>
  <si>
    <t>Target Start Date</t>
  </si>
  <si>
    <t>Target End Date</t>
  </si>
  <si>
    <t>Year</t>
  </si>
  <si>
    <t>Project_Type</t>
  </si>
  <si>
    <t>2026 - Year 1</t>
  </si>
  <si>
    <t>2027 - Year 2</t>
  </si>
  <si>
    <t>2028 - Year 3</t>
  </si>
  <si>
    <t>n/a</t>
  </si>
  <si>
    <t>Construction</t>
  </si>
  <si>
    <t>Administrative</t>
  </si>
  <si>
    <t>Complete</t>
  </si>
  <si>
    <t>In Progress</t>
  </si>
  <si>
    <t>TIHO/AHIF Millwork and Flooring</t>
  </si>
  <si>
    <t xml:space="preserve">TIHO/AHIF Final Paint and Punchlist </t>
  </si>
  <si>
    <t xml:space="preserve">TIHO/AHIF Sitework and Canopies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</si>
</sst>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0"/>
      <name val="Arial"/>
    </font>
    <font>
      <sz val="8"/>
      <name val="Arial"/>
      <family val="2"/>
    </font>
    <font>
      <sz val="10"/>
      <color rgb="FF000000"/>
      <name val="Arial"/>
      <family val="2"/>
    </font>
    <font>
      <u/>
      <sz val="10"/>
      <color theme="10"/>
      <name val="Arial"/>
    </font>
    <font>
      <u/>
      <sz val="10"/>
      <color theme="11"/>
      <name val="Arial"/>
    </font>
    <font>
      <sz val="12"/>
      <color rgb="FF000000"/>
      <name val="Arial"/>
    </font>
    <font>
      <b/>
      <sz val="16"/>
      <color rgb="FF000000"/>
      <name val="Arial"/>
    </font>
    <font>
      <b/>
      <sz val="12"/>
      <color rgb="FF000000"/>
      <name val="Arial"/>
    </font>
    <font>
      <b/>
      <sz val="11"/>
      <color rgb="FFFFFFFF"/>
      <name val="Arial"/>
    </font>
    <font>
      <sz val="11"/>
      <name val="Calibri"/>
    </font>
    <font>
      <sz val="9"/>
      <color indexed="81"/>
      <name val="Tahoma"/>
      <charset val="1"/>
    </font>
    <font>
      <b/>
      <sz val="10"/>
      <name val="Arial"/>
      <family val="2"/>
    </font>
    <font>
      <b/>
      <sz val="22"/>
      <name val="Arial"/>
      <family val="2"/>
    </font>
    <font>
      <sz val="12"/>
      <name val="Calibri"/>
      <family val="2"/>
    </font>
    <font>
      <sz val="10"/>
      <name val="Arial"/>
      <family val="2"/>
    </font>
    <font>
      <b/>
      <sz val="12"/>
      <color rgb="FF000000"/>
      <name val="Arial"/>
      <family val="2"/>
    </font>
    <font>
      <sz val="16"/>
      <name val="Arial"/>
      <family val="2"/>
    </font>
    <font>
      <sz val="18"/>
      <name val="Arial"/>
      <family val="2"/>
    </font>
    <font>
      <b/>
      <sz val="18"/>
      <name val="Arial"/>
      <family val="2"/>
    </font>
    <font>
      <sz val="16"/>
      <color rgb="FF000000"/>
      <name val="Arial"/>
    </font>
    <font>
      <b/>
      <sz val="16"/>
      <color rgb="FF7030A0"/>
      <name val="Arial"/>
    </font>
    <font>
      <b/>
      <sz val="16"/>
      <color rgb="FF00B050"/>
      <name val="Arial"/>
    </font>
    <font>
      <b/>
      <sz val="16"/>
      <name val="Arial"/>
      <family val="2"/>
    </font>
    <font>
      <sz val="8"/>
      <name val="Arial"/>
    </font>
  </fonts>
  <fills count="5">
    <fill>
      <patternFill patternType="none"/>
    </fill>
    <fill>
      <patternFill patternType="gray125"/>
    </fill>
    <fill>
      <patternFill patternType="solid">
        <fgColor rgb="FF7F7F7F"/>
        <bgColor rgb="FF7F7F7F"/>
      </patternFill>
    </fill>
    <fill>
      <patternFill patternType="solid">
        <fgColor rgb="FFDDEBF7"/>
        <bgColor indexed="64"/>
      </patternFill>
    </fill>
    <fill>
      <patternFill patternType="solid">
        <fgColor theme="8" tint="0.59999389629810485"/>
        <bgColor indexed="64"/>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bottom/>
      <diagonal/>
    </border>
    <border>
      <left style="thin">
        <color rgb="FF000000"/>
      </left>
      <right style="thin">
        <color rgb="FF000000"/>
      </right>
      <top/>
      <bottom/>
      <diagonal/>
    </border>
    <border>
      <left style="thin">
        <color rgb="FF000000"/>
      </left>
      <right/>
      <top/>
      <bottom/>
      <diagonal/>
    </border>
    <border>
      <left style="thin">
        <color indexed="64"/>
      </left>
      <right style="thin">
        <color indexed="64"/>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3">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36">
    <xf numFmtId="0" fontId="0" fillId="0" borderId="0" xfId="0"/>
    <xf numFmtId="0" fontId="5" fillId="0" borderId="0" xfId="0" applyFont="1" applyAlignment="1">
      <alignment wrapText="1"/>
    </xf>
    <xf numFmtId="0" fontId="2" fillId="0" borderId="0" xfId="0" applyFont="1" applyAlignment="1">
      <alignment wrapText="1"/>
    </xf>
    <xf numFmtId="0" fontId="2" fillId="0" borderId="1" xfId="0" applyFont="1" applyBorder="1" applyAlignment="1" applyProtection="1">
      <alignment horizontal="left" vertical="top" wrapText="1"/>
      <protection locked="0"/>
    </xf>
    <xf numFmtId="14" fontId="2" fillId="0" borderId="1" xfId="0" applyNumberFormat="1" applyFont="1" applyBorder="1" applyAlignment="1" applyProtection="1">
      <alignment horizontal="left" vertical="top" wrapText="1"/>
      <protection locked="0"/>
    </xf>
    <xf numFmtId="0" fontId="18" fillId="0" borderId="2" xfId="0" applyFont="1" applyBorder="1" applyAlignment="1">
      <alignment horizontal="left" vertical="center"/>
    </xf>
    <xf numFmtId="0" fontId="8" fillId="2" borderId="1" xfId="0" applyFont="1" applyFill="1" applyBorder="1" applyAlignment="1">
      <alignment horizontal="left" vertical="top" wrapText="1"/>
    </xf>
    <xf numFmtId="0" fontId="0" fillId="0" borderId="0" xfId="0" applyAlignment="1">
      <alignment horizontal="left" vertical="top"/>
    </xf>
    <xf numFmtId="0" fontId="8" fillId="2" borderId="11" xfId="0" applyFont="1" applyFill="1" applyBorder="1" applyAlignment="1">
      <alignment horizontal="left" vertical="top" wrapText="1"/>
    </xf>
    <xf numFmtId="0" fontId="8" fillId="2" borderId="12" xfId="0" applyFont="1" applyFill="1" applyBorder="1" applyAlignment="1">
      <alignment horizontal="left" vertical="top" wrapText="1"/>
    </xf>
    <xf numFmtId="0" fontId="8" fillId="2" borderId="13" xfId="0" applyFont="1" applyFill="1" applyBorder="1" applyAlignment="1">
      <alignment horizontal="left" vertical="top" wrapText="1"/>
    </xf>
    <xf numFmtId="0" fontId="14" fillId="0" borderId="1" xfId="0" applyFont="1" applyBorder="1" applyAlignment="1" applyProtection="1">
      <alignment horizontal="left" vertical="top" wrapText="1"/>
      <protection locked="0"/>
    </xf>
    <xf numFmtId="14" fontId="0" fillId="0" borderId="0" xfId="0" applyNumberFormat="1"/>
    <xf numFmtId="14" fontId="0" fillId="0" borderId="0" xfId="0" applyNumberFormat="1" applyAlignment="1">
      <alignment horizontal="right"/>
    </xf>
    <xf numFmtId="0" fontId="14" fillId="0" borderId="0" xfId="0" applyFont="1"/>
    <xf numFmtId="0" fontId="11" fillId="0" borderId="0" xfId="0" applyFont="1"/>
    <xf numFmtId="0" fontId="2" fillId="0" borderId="15" xfId="0" applyFont="1" applyBorder="1" applyAlignment="1" applyProtection="1">
      <alignment horizontal="left" vertical="top" wrapText="1"/>
      <protection locked="0"/>
    </xf>
    <xf numFmtId="0" fontId="2" fillId="0" borderId="16" xfId="0" applyFont="1" applyBorder="1" applyAlignment="1" applyProtection="1">
      <alignment horizontal="left" vertical="top" wrapText="1"/>
      <protection locked="0"/>
    </xf>
    <xf numFmtId="0" fontId="2" fillId="0" borderId="17" xfId="0" applyFont="1" applyBorder="1" applyAlignment="1" applyProtection="1">
      <alignment horizontal="left" vertical="top" wrapText="1"/>
      <protection locked="0"/>
    </xf>
    <xf numFmtId="0" fontId="2" fillId="0" borderId="1" xfId="0" applyFont="1" applyBorder="1" applyAlignment="1" applyProtection="1">
      <alignment horizontal="left" vertical="top" wrapText="1"/>
      <protection locked="0"/>
    </xf>
    <xf numFmtId="0" fontId="13" fillId="0" borderId="1" xfId="0" applyFont="1" applyBorder="1" applyAlignment="1" applyProtection="1">
      <alignment horizontal="left" vertical="top"/>
      <protection locked="0"/>
    </xf>
    <xf numFmtId="0" fontId="15" fillId="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8" fillId="2" borderId="1" xfId="0" applyFont="1" applyFill="1" applyBorder="1" applyAlignment="1">
      <alignment horizontal="left" vertical="top" wrapText="1"/>
    </xf>
    <xf numFmtId="0" fontId="9" fillId="0" borderId="1" xfId="0" applyFont="1" applyBorder="1" applyAlignment="1">
      <alignment horizontal="left" vertical="top"/>
    </xf>
    <xf numFmtId="0" fontId="7" fillId="3" borderId="2" xfId="0" applyFont="1" applyFill="1" applyBorder="1" applyAlignment="1">
      <alignment horizontal="center" vertical="center" wrapText="1"/>
    </xf>
    <xf numFmtId="0" fontId="7" fillId="3" borderId="8" xfId="0" applyFont="1" applyFill="1" applyBorder="1" applyAlignment="1">
      <alignment horizontal="center" vertical="center" wrapText="1"/>
    </xf>
    <xf numFmtId="0" fontId="7" fillId="3" borderId="14" xfId="0" applyFont="1" applyFill="1" applyBorder="1" applyAlignment="1">
      <alignment horizontal="center" vertical="center" wrapText="1"/>
    </xf>
    <xf numFmtId="0" fontId="12" fillId="4" borderId="4" xfId="0" applyFont="1" applyFill="1" applyBorder="1" applyAlignment="1">
      <alignment horizontal="center" vertical="center"/>
    </xf>
    <xf numFmtId="0" fontId="12" fillId="4" borderId="5" xfId="0" applyFont="1" applyFill="1" applyBorder="1" applyAlignment="1">
      <alignment horizontal="center" vertical="center"/>
    </xf>
    <xf numFmtId="0" fontId="12" fillId="4" borderId="6" xfId="0" applyFont="1" applyFill="1" applyBorder="1" applyAlignment="1">
      <alignment horizontal="center" vertical="center"/>
    </xf>
    <xf numFmtId="0" fontId="16" fillId="0" borderId="3" xfId="0" applyFont="1" applyBorder="1" applyAlignment="1">
      <alignment horizontal="left" vertical="center" wrapText="1"/>
    </xf>
    <xf numFmtId="0" fontId="6" fillId="4" borderId="9" xfId="0" applyFont="1" applyFill="1" applyBorder="1" applyAlignment="1">
      <alignment horizontal="center" vertical="center" wrapText="1"/>
    </xf>
    <xf numFmtId="0" fontId="6" fillId="4" borderId="10" xfId="0" applyFont="1" applyFill="1" applyBorder="1" applyAlignment="1">
      <alignment horizontal="center" vertical="center" wrapText="1"/>
    </xf>
    <xf numFmtId="0" fontId="6" fillId="4" borderId="7" xfId="0" applyFont="1" applyFill="1" applyBorder="1" applyAlignment="1">
      <alignment horizontal="center" vertical="center" wrapText="1"/>
    </xf>
    <xf numFmtId="0" fontId="17" fillId="0" borderId="2" xfId="0" applyFont="1" applyBorder="1" applyAlignment="1">
      <alignment horizontal="left" vertical="top" wrapText="1"/>
    </xf>
  </cellXfs>
  <cellStyles count="33">
    <cellStyle name="Followed Hyperlink" xfId="26" builtinId="9" hidden="1"/>
    <cellStyle name="Followed Hyperlink" xfId="2" builtinId="9" hidden="1"/>
    <cellStyle name="Followed Hyperlink" xfId="14" builtinId="9" hidden="1"/>
    <cellStyle name="Followed Hyperlink" xfId="30" builtinId="9" hidden="1"/>
    <cellStyle name="Followed Hyperlink" xfId="8" builtinId="9" hidden="1"/>
    <cellStyle name="Followed Hyperlink" xfId="20" builtinId="9" hidden="1"/>
    <cellStyle name="Followed Hyperlink" xfId="28" builtinId="9" hidden="1"/>
    <cellStyle name="Followed Hyperlink" xfId="22" builtinId="9" hidden="1"/>
    <cellStyle name="Followed Hyperlink" xfId="12" builtinId="9" hidden="1"/>
    <cellStyle name="Followed Hyperlink" xfId="16" builtinId="9" hidden="1"/>
    <cellStyle name="Followed Hyperlink" xfId="18" builtinId="9" hidden="1"/>
    <cellStyle name="Followed Hyperlink" xfId="6" builtinId="9" hidden="1"/>
    <cellStyle name="Followed Hyperlink" xfId="24" builtinId="9" hidden="1"/>
    <cellStyle name="Followed Hyperlink" xfId="10" builtinId="9" hidden="1"/>
    <cellStyle name="Followed Hyperlink" xfId="32" builtinId="9" hidden="1"/>
    <cellStyle name="Followed Hyperlink" xfId="4" builtinId="9" hidden="1"/>
    <cellStyle name="Hyperlink" xfId="31" builtinId="8" hidden="1"/>
    <cellStyle name="Hyperlink" xfId="27" builtinId="8" hidden="1"/>
    <cellStyle name="Hyperlink" xfId="29" builtinId="8" hidden="1"/>
    <cellStyle name="Hyperlink" xfId="19" builtinId="8" hidden="1"/>
    <cellStyle name="Hyperlink" xfId="21" builtinId="8" hidden="1"/>
    <cellStyle name="Hyperlink" xfId="23" builtinId="8" hidden="1"/>
    <cellStyle name="Hyperlink" xfId="25" builtinId="8" hidden="1"/>
    <cellStyle name="Hyperlink" xfId="1" builtinId="8" hidden="1"/>
    <cellStyle name="Hyperlink" xfId="17"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Normal" xfId="0" builtinId="0"/>
  </cellStyles>
  <dxfs count="16">
    <dxf>
      <fill>
        <patternFill>
          <bgColor theme="0" tint="-0.24994659260841701"/>
        </patternFill>
      </fill>
    </dxf>
    <dxf>
      <fill>
        <patternFill>
          <bgColor rgb="FFFFCC00"/>
        </patternFill>
      </fill>
    </dxf>
    <dxf>
      <fill>
        <patternFill>
          <bgColor rgb="FF00B050"/>
        </patternFill>
      </fill>
    </dxf>
    <dxf>
      <fill>
        <patternFill>
          <bgColor theme="0" tint="-0.24994659260841701"/>
        </patternFill>
      </fill>
    </dxf>
    <dxf>
      <fill>
        <patternFill>
          <bgColor rgb="FFFFCC00"/>
        </patternFill>
      </fill>
    </dxf>
    <dxf>
      <fill>
        <patternFill>
          <bgColor rgb="FF00B050"/>
        </patternFill>
      </fill>
    </dxf>
    <dxf>
      <fill>
        <patternFill>
          <bgColor theme="0" tint="-0.24994659260841701"/>
        </patternFill>
      </fill>
    </dxf>
    <dxf>
      <fill>
        <patternFill>
          <bgColor rgb="FFFFCC00"/>
        </patternFill>
      </fill>
    </dxf>
    <dxf>
      <fill>
        <patternFill>
          <bgColor rgb="FF00B050"/>
        </patternFill>
      </fill>
    </dxf>
    <dxf>
      <fill>
        <patternFill>
          <bgColor rgb="FF00B050"/>
        </patternFill>
      </fill>
    </dxf>
    <dxf>
      <fill>
        <patternFill>
          <bgColor theme="0" tint="-0.24994659260841701"/>
        </patternFill>
      </fill>
    </dxf>
    <dxf>
      <fill>
        <patternFill>
          <bgColor rgb="FFFFCC00"/>
        </patternFill>
      </fill>
    </dxf>
    <dxf>
      <fill>
        <patternFill>
          <bgColor rgb="FF00B050"/>
        </patternFill>
      </fill>
    </dxf>
    <dxf>
      <fill>
        <patternFill>
          <bgColor theme="0" tint="-0.24994659260841701"/>
        </patternFill>
      </fill>
    </dxf>
    <dxf>
      <fill>
        <patternFill>
          <bgColor rgb="FFFFCC00"/>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DD0806"/>
      <rgbColor rgb="001FB714"/>
      <rgbColor rgb="000000D4"/>
      <rgbColor rgb="00FCF305"/>
      <rgbColor rgb="00F20884"/>
      <rgbColor rgb="0000ABEA"/>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2.xml"/><Relationship Id="rId5" Type="http://schemas.openxmlformats.org/officeDocument/2006/relationships/styles" Target="styles.xml"/><Relationship Id="rId10" Type="http://schemas.openxmlformats.org/officeDocument/2006/relationships/customXml" Target="../customXml/item1.xml"/><Relationship Id="rId4" Type="http://schemas.openxmlformats.org/officeDocument/2006/relationships/theme" Target="theme/theme1.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Sarah Hamilton" id="{90725FFD-22D2-4E4B-8D5A-2E9971E285FD}" userId="S::hamiltons@omrf.org::1ac104ee-85fc-451e-a56c-8d5189694bd7" providerId="AD"/>
  <person displayName="Frankie Farragut" id="{09DD19F9-94B8-4BBC-9B7E-A021AEB1946F}" userId="S::frankie.farragut@weaver.com::b9e8dcee-7af1-4c40-a57c-59b9b5365ea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2" dT="2025-11-21T20:25:19.93" personId="{09DD19F9-94B8-4BBC-9B7E-A021AEB1946F}" id="{CC0B3EC8-4D04-4DED-934C-AF0E2BE58BA8}">
    <text>Recommend noting exactly which milestones that TSET would be funding and aligning with the budget</text>
  </threadedComment>
  <threadedComment ref="A31" dT="2025-11-21T20:00:06.79" personId="{09DD19F9-94B8-4BBC-9B7E-A021AEB1946F}" id="{EB6E79B3-5954-414E-9B1E-85E748524323}">
    <text>Recommend incorporating a milestone for TSET and tobacco free signage installation</text>
  </threadedComment>
  <threadedComment ref="A31" dT="2025-12-11T16:47:46.57" personId="{90725FFD-22D2-4E4B-8D5A-2E9971E285FD}" id="{6FF1FE0F-055A-435F-81EE-A9687179C934}" parentId="{EB6E79B3-5954-414E-9B1E-85E748524323}">
    <text>Added signage installation to row 22 but can move elsewhere as needed.</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3D67F-1B06-4261-9D26-7CA844D8D4FC}">
  <sheetPr>
    <tabColor rgb="FF2F75B5"/>
  </sheetPr>
  <dimension ref="A1:M11"/>
  <sheetViews>
    <sheetView zoomScale="60" zoomScaleNormal="60" workbookViewId="0">
      <selection activeCell="A2" sqref="A2:M2"/>
    </sheetView>
  </sheetViews>
  <sheetFormatPr defaultColWidth="0" defaultRowHeight="12.5" zeroHeight="1" x14ac:dyDescent="0.25"/>
  <cols>
    <col min="1" max="1" width="33.7265625" bestFit="1" customWidth="1"/>
    <col min="2" max="2" width="17.7265625" customWidth="1"/>
    <col min="3" max="4" width="10.1796875" bestFit="1" customWidth="1"/>
    <col min="5" max="5" width="19.26953125" customWidth="1"/>
    <col min="6" max="6" width="9.1796875" customWidth="1"/>
    <col min="7" max="7" width="16.81640625" customWidth="1"/>
    <col min="8" max="12" width="8.81640625" customWidth="1"/>
    <col min="13" max="13" width="13" customWidth="1"/>
    <col min="14" max="16384" width="8.81640625" hidden="1"/>
  </cols>
  <sheetData>
    <row r="1" spans="1:13" ht="37.15" customHeight="1" thickBot="1" x14ac:dyDescent="0.3">
      <c r="A1" s="28" t="s">
        <v>0</v>
      </c>
      <c r="B1" s="29"/>
      <c r="C1" s="29"/>
      <c r="D1" s="29"/>
      <c r="E1" s="29"/>
      <c r="F1" s="29"/>
      <c r="G1" s="29"/>
      <c r="H1" s="29"/>
      <c r="I1" s="29"/>
      <c r="J1" s="29"/>
      <c r="K1" s="29"/>
      <c r="L1" s="29"/>
      <c r="M1" s="30"/>
    </row>
    <row r="2" spans="1:13" ht="213" customHeight="1" x14ac:dyDescent="0.25">
      <c r="A2" s="31" t="s">
        <v>1</v>
      </c>
      <c r="B2" s="31"/>
      <c r="C2" s="31"/>
      <c r="D2" s="31"/>
      <c r="E2" s="31"/>
      <c r="F2" s="31"/>
      <c r="G2" s="31"/>
      <c r="H2" s="31"/>
      <c r="I2" s="31"/>
      <c r="J2" s="31"/>
      <c r="K2" s="31"/>
      <c r="L2" s="31"/>
      <c r="M2" s="31"/>
    </row>
    <row r="3" spans="1:13" ht="20" x14ac:dyDescent="0.25">
      <c r="A3" s="32"/>
      <c r="B3" s="33"/>
      <c r="C3" s="33"/>
      <c r="D3" s="33"/>
      <c r="E3" s="33"/>
      <c r="F3" s="33"/>
      <c r="G3" s="33"/>
      <c r="H3" s="33"/>
      <c r="I3" s="33"/>
      <c r="J3" s="33"/>
      <c r="K3" s="33"/>
      <c r="L3" s="33"/>
      <c r="M3" s="34"/>
    </row>
    <row r="4" spans="1:13" ht="48" customHeight="1" x14ac:dyDescent="0.25">
      <c r="A4" s="5" t="s">
        <v>2</v>
      </c>
      <c r="B4" s="35" t="s">
        <v>3</v>
      </c>
      <c r="C4" s="35"/>
      <c r="D4" s="35"/>
      <c r="E4" s="35"/>
      <c r="F4" s="35"/>
      <c r="G4" s="35"/>
      <c r="H4" s="35"/>
      <c r="I4" s="35"/>
      <c r="J4" s="35"/>
      <c r="K4" s="35"/>
      <c r="L4" s="35"/>
      <c r="M4" s="35"/>
    </row>
    <row r="5" spans="1:13" ht="66.75" customHeight="1" x14ac:dyDescent="0.25">
      <c r="A5" s="5" t="s">
        <v>4</v>
      </c>
      <c r="B5" s="35" t="s">
        <v>5</v>
      </c>
      <c r="C5" s="35"/>
      <c r="D5" s="35"/>
      <c r="E5" s="35"/>
      <c r="F5" s="35"/>
      <c r="G5" s="35"/>
      <c r="H5" s="35"/>
      <c r="I5" s="35"/>
      <c r="J5" s="35"/>
      <c r="K5" s="35"/>
      <c r="L5" s="35"/>
      <c r="M5" s="35"/>
    </row>
    <row r="6" spans="1:13" ht="28.5" customHeight="1" x14ac:dyDescent="0.25">
      <c r="A6" s="5" t="s">
        <v>6</v>
      </c>
      <c r="B6" s="35" t="s">
        <v>7</v>
      </c>
      <c r="C6" s="35"/>
      <c r="D6" s="35"/>
      <c r="E6" s="35"/>
      <c r="F6" s="35"/>
      <c r="G6" s="35"/>
      <c r="H6" s="35"/>
      <c r="I6" s="35"/>
      <c r="J6" s="35"/>
      <c r="K6" s="35"/>
      <c r="L6" s="35"/>
      <c r="M6" s="35"/>
    </row>
    <row r="7" spans="1:13" ht="23" x14ac:dyDescent="0.25">
      <c r="A7" s="5" t="s">
        <v>8</v>
      </c>
      <c r="B7" s="35" t="s">
        <v>9</v>
      </c>
      <c r="C7" s="35"/>
      <c r="D7" s="35"/>
      <c r="E7" s="35"/>
      <c r="F7" s="35"/>
      <c r="G7" s="35"/>
      <c r="H7" s="35"/>
      <c r="I7" s="35"/>
      <c r="J7" s="35"/>
      <c r="K7" s="35"/>
      <c r="L7" s="35"/>
      <c r="M7" s="35"/>
    </row>
    <row r="8" spans="1:13" ht="23" x14ac:dyDescent="0.25">
      <c r="A8" s="5" t="s">
        <v>10</v>
      </c>
      <c r="B8" s="35" t="s">
        <v>11</v>
      </c>
      <c r="C8" s="35"/>
      <c r="D8" s="35"/>
      <c r="E8" s="35"/>
      <c r="F8" s="35"/>
      <c r="G8" s="35"/>
      <c r="H8" s="35"/>
      <c r="I8" s="35"/>
      <c r="J8" s="35"/>
      <c r="K8" s="35"/>
      <c r="L8" s="35"/>
      <c r="M8" s="35"/>
    </row>
    <row r="9" spans="1:13" ht="23" x14ac:dyDescent="0.25">
      <c r="A9" s="5" t="s">
        <v>12</v>
      </c>
      <c r="B9" s="35" t="s">
        <v>13</v>
      </c>
      <c r="C9" s="35"/>
      <c r="D9" s="35"/>
      <c r="E9" s="35"/>
      <c r="F9" s="35"/>
      <c r="G9" s="35"/>
      <c r="H9" s="35"/>
      <c r="I9" s="35"/>
      <c r="J9" s="35"/>
      <c r="K9" s="35"/>
      <c r="L9" s="35"/>
      <c r="M9" s="35"/>
    </row>
    <row r="10" spans="1:13" ht="45" customHeight="1" x14ac:dyDescent="0.25">
      <c r="A10" s="5" t="s">
        <v>14</v>
      </c>
      <c r="B10" s="35" t="s">
        <v>15</v>
      </c>
      <c r="C10" s="35"/>
      <c r="D10" s="35"/>
      <c r="E10" s="35"/>
      <c r="F10" s="35"/>
      <c r="G10" s="35"/>
      <c r="H10" s="35"/>
      <c r="I10" s="35"/>
      <c r="J10" s="35"/>
      <c r="K10" s="35"/>
      <c r="L10" s="35"/>
      <c r="M10" s="35"/>
    </row>
    <row r="11" spans="1:13" ht="78" customHeight="1" x14ac:dyDescent="0.25">
      <c r="A11" s="5" t="s">
        <v>16</v>
      </c>
      <c r="B11" s="35" t="s">
        <v>17</v>
      </c>
      <c r="C11" s="35"/>
      <c r="D11" s="35"/>
      <c r="E11" s="35"/>
      <c r="F11" s="35"/>
      <c r="G11" s="35"/>
      <c r="H11" s="35"/>
      <c r="I11" s="35"/>
      <c r="J11" s="35"/>
      <c r="K11" s="35"/>
      <c r="L11" s="35"/>
      <c r="M11" s="35"/>
    </row>
  </sheetData>
  <mergeCells count="11">
    <mergeCell ref="A1:M1"/>
    <mergeCell ref="A2:M2"/>
    <mergeCell ref="A3:M3"/>
    <mergeCell ref="B11:M11"/>
    <mergeCell ref="B4:M4"/>
    <mergeCell ref="B5:M5"/>
    <mergeCell ref="B6:M6"/>
    <mergeCell ref="B7:M7"/>
    <mergeCell ref="B10:M10"/>
    <mergeCell ref="B8:M8"/>
    <mergeCell ref="B9:M9"/>
  </mergeCells>
  <pageMargins left="0.7" right="0.7" top="0.75" bottom="0.75" header="0.3" footer="0.3"/>
  <pageSetup scale="70"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pageSetUpPr fitToPage="1"/>
  </sheetPr>
  <dimension ref="A1:AC84"/>
  <sheetViews>
    <sheetView showGridLines="0" tabSelected="1" zoomScale="110" zoomScaleNormal="110" zoomScalePageLayoutView="60" workbookViewId="0">
      <selection activeCell="A10" sqref="A10"/>
    </sheetView>
  </sheetViews>
  <sheetFormatPr defaultColWidth="0" defaultRowHeight="22" customHeight="1" zeroHeight="1" x14ac:dyDescent="0.25"/>
  <cols>
    <col min="1" max="1" width="34" style="7" customWidth="1"/>
    <col min="2" max="2" width="18.453125" style="7" customWidth="1"/>
    <col min="3" max="4" width="10.1796875" style="7" bestFit="1" customWidth="1"/>
    <col min="5" max="5" width="12.7265625" style="7" customWidth="1"/>
    <col min="6" max="6" width="11.54296875" style="7" customWidth="1"/>
    <col min="7" max="7" width="11.81640625" style="7" customWidth="1"/>
    <col min="8" max="9" width="13.7265625" style="7" customWidth="1"/>
    <col min="10" max="10" width="12.7265625" style="7" customWidth="1"/>
    <col min="11" max="11" width="13" style="7" customWidth="1"/>
    <col min="12" max="12" width="8.81640625" style="7" customWidth="1"/>
    <col min="13" max="29" width="0" hidden="1" customWidth="1"/>
    <col min="30" max="16384" width="8.81640625" hidden="1"/>
  </cols>
  <sheetData>
    <row r="1" spans="1:28" ht="28.5" customHeight="1" x14ac:dyDescent="0.35">
      <c r="A1" s="25" t="s">
        <v>18</v>
      </c>
      <c r="B1" s="25"/>
      <c r="C1" s="25"/>
      <c r="D1" s="25"/>
      <c r="E1" s="25"/>
      <c r="F1" s="25"/>
      <c r="G1" s="25"/>
      <c r="H1" s="26"/>
      <c r="I1" s="26"/>
      <c r="J1" s="26"/>
      <c r="K1" s="27"/>
      <c r="L1" s="27"/>
      <c r="M1" s="1"/>
      <c r="N1" s="1"/>
      <c r="O1" s="1"/>
      <c r="P1" s="1"/>
      <c r="Q1" s="1"/>
      <c r="R1" s="1"/>
      <c r="S1" s="1"/>
      <c r="T1" s="1"/>
      <c r="U1" s="1"/>
      <c r="V1" s="1"/>
      <c r="W1" s="1"/>
      <c r="X1" s="1"/>
      <c r="Y1" s="1"/>
      <c r="Z1" s="1"/>
      <c r="AA1" s="1"/>
      <c r="AB1" s="1"/>
    </row>
    <row r="2" spans="1:28" ht="28.5" customHeight="1" x14ac:dyDescent="0.35">
      <c r="A2" s="8" t="s">
        <v>19</v>
      </c>
      <c r="B2" s="9" t="s">
        <v>20</v>
      </c>
      <c r="C2" s="9" t="s">
        <v>21</v>
      </c>
      <c r="D2" s="10" t="s">
        <v>22</v>
      </c>
      <c r="E2" s="10" t="s">
        <v>23</v>
      </c>
      <c r="F2" s="10" t="s">
        <v>24</v>
      </c>
      <c r="G2" s="10" t="s">
        <v>25</v>
      </c>
      <c r="H2" s="23" t="s">
        <v>26</v>
      </c>
      <c r="I2" s="24"/>
      <c r="J2" s="24"/>
      <c r="K2" s="24"/>
      <c r="L2" s="24"/>
      <c r="M2" s="1"/>
      <c r="N2" s="1"/>
      <c r="O2" s="1"/>
      <c r="P2" s="1"/>
      <c r="Q2" s="1"/>
      <c r="R2" s="1"/>
      <c r="S2" s="1"/>
      <c r="T2" s="1"/>
      <c r="U2" s="1"/>
      <c r="V2" s="1"/>
      <c r="W2" s="1"/>
      <c r="X2" s="1"/>
      <c r="Y2" s="1"/>
      <c r="Z2" s="1"/>
      <c r="AA2" s="1"/>
      <c r="AB2" s="1"/>
    </row>
    <row r="3" spans="1:28" ht="77.25" customHeight="1" x14ac:dyDescent="0.25">
      <c r="A3" s="3" t="s">
        <v>82</v>
      </c>
      <c r="B3" s="3" t="s">
        <v>83</v>
      </c>
      <c r="C3" s="4">
        <v>45999</v>
      </c>
      <c r="D3" s="4">
        <v>46252</v>
      </c>
      <c r="E3" s="4">
        <v>45999</v>
      </c>
      <c r="F3" s="4">
        <v>46252</v>
      </c>
      <c r="G3" s="3" t="s">
        <v>101</v>
      </c>
      <c r="H3" s="19" t="s">
        <v>29</v>
      </c>
      <c r="I3" s="20"/>
      <c r="J3" s="20"/>
      <c r="K3" s="20"/>
      <c r="L3" s="20"/>
      <c r="M3" s="2"/>
      <c r="N3" s="2"/>
      <c r="O3" s="2"/>
      <c r="P3" s="2"/>
      <c r="Q3" s="2"/>
      <c r="R3" s="2"/>
      <c r="S3" s="2"/>
      <c r="T3" s="2"/>
      <c r="U3" s="2"/>
      <c r="V3" s="2"/>
      <c r="W3" s="2"/>
      <c r="X3" s="2"/>
      <c r="Y3" s="2"/>
      <c r="Z3" s="2"/>
      <c r="AA3" s="2"/>
      <c r="AB3" s="2"/>
    </row>
    <row r="4" spans="1:28" ht="25" x14ac:dyDescent="0.25">
      <c r="A4" s="3" t="s">
        <v>77</v>
      </c>
      <c r="B4" s="3" t="s">
        <v>30</v>
      </c>
      <c r="C4" s="4">
        <v>46174</v>
      </c>
      <c r="D4" s="4">
        <v>46234</v>
      </c>
      <c r="E4" s="4">
        <v>46237</v>
      </c>
      <c r="F4" s="4">
        <v>46295</v>
      </c>
      <c r="G4" s="3" t="s">
        <v>101</v>
      </c>
      <c r="H4" s="19" t="s">
        <v>61</v>
      </c>
      <c r="I4" s="20"/>
      <c r="J4" s="20"/>
      <c r="K4" s="20"/>
      <c r="L4" s="20"/>
      <c r="M4" s="2"/>
      <c r="N4" s="2"/>
      <c r="O4" s="2"/>
      <c r="P4" s="2"/>
      <c r="Q4" s="2"/>
      <c r="R4" s="2"/>
      <c r="S4" s="2"/>
      <c r="T4" s="2"/>
      <c r="U4" s="2"/>
      <c r="V4" s="2"/>
      <c r="W4" s="2"/>
      <c r="X4" s="2"/>
      <c r="Y4" s="2"/>
      <c r="Z4" s="2"/>
      <c r="AA4" s="2"/>
      <c r="AB4" s="2"/>
    </row>
    <row r="5" spans="1:28" ht="15.75" customHeight="1" x14ac:dyDescent="0.25">
      <c r="A5" s="3" t="s">
        <v>78</v>
      </c>
      <c r="B5" s="3" t="s">
        <v>30</v>
      </c>
      <c r="C5" s="4">
        <v>46282</v>
      </c>
      <c r="D5" s="4">
        <v>46330</v>
      </c>
      <c r="E5" s="4">
        <v>46282</v>
      </c>
      <c r="F5" s="4" t="s">
        <v>98</v>
      </c>
      <c r="G5" s="3" t="s">
        <v>102</v>
      </c>
      <c r="H5" s="19" t="s">
        <v>61</v>
      </c>
      <c r="I5" s="20"/>
      <c r="J5" s="20"/>
      <c r="K5" s="20"/>
      <c r="L5" s="20"/>
      <c r="M5" s="2"/>
      <c r="N5" s="2"/>
      <c r="O5" s="2"/>
      <c r="P5" s="2"/>
      <c r="Q5" s="2"/>
      <c r="R5" s="2"/>
      <c r="S5" s="2"/>
      <c r="T5" s="2"/>
      <c r="U5" s="2"/>
      <c r="V5" s="2"/>
      <c r="W5" s="2"/>
      <c r="X5" s="2"/>
      <c r="Y5" s="2"/>
      <c r="Z5" s="2"/>
      <c r="AA5" s="2"/>
      <c r="AB5" s="2"/>
    </row>
    <row r="6" spans="1:28" ht="25" x14ac:dyDescent="0.25">
      <c r="A6" s="3" t="s">
        <v>79</v>
      </c>
      <c r="B6" s="3" t="s">
        <v>30</v>
      </c>
      <c r="C6" s="4">
        <v>46331</v>
      </c>
      <c r="D6" s="4">
        <v>46386</v>
      </c>
      <c r="E6" s="4" t="s">
        <v>98</v>
      </c>
      <c r="F6" s="4" t="s">
        <v>98</v>
      </c>
      <c r="G6" s="3" t="s">
        <v>27</v>
      </c>
      <c r="H6" s="19" t="s">
        <v>61</v>
      </c>
      <c r="I6" s="20"/>
      <c r="J6" s="20"/>
      <c r="K6" s="20"/>
      <c r="L6" s="20"/>
      <c r="M6" s="2"/>
      <c r="N6" s="2"/>
      <c r="O6" s="2"/>
      <c r="P6" s="2"/>
      <c r="Q6" s="2"/>
      <c r="R6" s="2"/>
      <c r="S6" s="2"/>
      <c r="T6" s="2"/>
      <c r="U6" s="2"/>
      <c r="V6" s="2"/>
      <c r="W6" s="2"/>
      <c r="X6" s="2"/>
      <c r="Y6" s="2"/>
      <c r="Z6" s="2"/>
      <c r="AA6" s="2"/>
      <c r="AB6" s="2"/>
    </row>
    <row r="7" spans="1:28" ht="25" x14ac:dyDescent="0.25">
      <c r="A7" s="11" t="s">
        <v>32</v>
      </c>
      <c r="B7" s="3" t="s">
        <v>33</v>
      </c>
      <c r="C7" s="4">
        <v>46023</v>
      </c>
      <c r="D7" s="4">
        <v>46112</v>
      </c>
      <c r="E7" s="4">
        <v>46023</v>
      </c>
      <c r="F7" s="4">
        <v>46203</v>
      </c>
      <c r="G7" s="3" t="s">
        <v>101</v>
      </c>
      <c r="H7" s="19"/>
      <c r="I7" s="20"/>
      <c r="J7" s="20"/>
      <c r="K7" s="20"/>
      <c r="L7" s="20"/>
      <c r="M7" s="2"/>
      <c r="N7" s="2"/>
      <c r="O7" s="2"/>
      <c r="P7" s="2"/>
      <c r="Q7" s="2"/>
      <c r="R7" s="2"/>
      <c r="S7" s="2"/>
      <c r="T7" s="2"/>
      <c r="U7" s="2"/>
      <c r="V7" s="2"/>
      <c r="W7" s="2"/>
      <c r="X7" s="2"/>
      <c r="Y7" s="2"/>
      <c r="Z7" s="2"/>
      <c r="AA7" s="2"/>
      <c r="AB7" s="2"/>
    </row>
    <row r="8" spans="1:28" ht="82.5" customHeight="1" x14ac:dyDescent="0.25">
      <c r="A8" s="11" t="s">
        <v>34</v>
      </c>
      <c r="B8" s="3" t="s">
        <v>33</v>
      </c>
      <c r="C8" s="4">
        <v>46113</v>
      </c>
      <c r="D8" s="4">
        <v>46203</v>
      </c>
      <c r="E8" s="4">
        <v>46113</v>
      </c>
      <c r="F8" s="4">
        <v>46203</v>
      </c>
      <c r="G8" s="3" t="s">
        <v>101</v>
      </c>
      <c r="H8" s="19" t="s">
        <v>60</v>
      </c>
      <c r="I8" s="20"/>
      <c r="J8" s="20"/>
      <c r="K8" s="20"/>
      <c r="L8" s="20"/>
      <c r="M8" s="2"/>
      <c r="N8" s="2"/>
      <c r="O8" s="2"/>
      <c r="P8" s="2"/>
      <c r="Q8" s="2"/>
      <c r="R8" s="2"/>
      <c r="S8" s="2"/>
      <c r="T8" s="2"/>
      <c r="U8" s="2"/>
      <c r="V8" s="2"/>
      <c r="W8" s="2"/>
      <c r="X8" s="2"/>
      <c r="Y8" s="2"/>
      <c r="Z8" s="2"/>
      <c r="AA8" s="2"/>
      <c r="AB8" s="2"/>
    </row>
    <row r="9" spans="1:28" ht="25" x14ac:dyDescent="0.25">
      <c r="A9" s="11" t="s">
        <v>35</v>
      </c>
      <c r="B9" s="3" t="s">
        <v>33</v>
      </c>
      <c r="C9" s="4">
        <v>46174</v>
      </c>
      <c r="D9" s="4">
        <v>46295</v>
      </c>
      <c r="E9" s="4">
        <v>46174</v>
      </c>
      <c r="F9" s="4">
        <v>46295</v>
      </c>
      <c r="G9" s="3" t="s">
        <v>101</v>
      </c>
      <c r="H9" s="19" t="s">
        <v>59</v>
      </c>
      <c r="I9" s="20"/>
      <c r="J9" s="20"/>
      <c r="K9" s="20"/>
      <c r="L9" s="20"/>
      <c r="M9" s="2"/>
      <c r="N9" s="2"/>
      <c r="O9" s="2"/>
      <c r="P9" s="2"/>
      <c r="Q9" s="2"/>
      <c r="R9" s="2"/>
      <c r="S9" s="2"/>
      <c r="T9" s="2"/>
      <c r="U9" s="2"/>
      <c r="V9" s="2"/>
      <c r="W9" s="2"/>
      <c r="X9" s="2"/>
      <c r="Y9" s="2"/>
      <c r="Z9" s="2"/>
      <c r="AA9" s="2"/>
      <c r="AB9" s="2"/>
    </row>
    <row r="10" spans="1:28" ht="170.25" customHeight="1" x14ac:dyDescent="0.25">
      <c r="A10" s="11" t="s">
        <v>36</v>
      </c>
      <c r="B10" s="3" t="s">
        <v>37</v>
      </c>
      <c r="C10" s="4">
        <v>46296</v>
      </c>
      <c r="D10" s="4">
        <v>46387</v>
      </c>
      <c r="E10" s="4">
        <v>46296</v>
      </c>
      <c r="F10" s="4" t="s">
        <v>98</v>
      </c>
      <c r="G10" s="3" t="s">
        <v>102</v>
      </c>
      <c r="H10" s="19" t="s">
        <v>62</v>
      </c>
      <c r="I10" s="20"/>
      <c r="J10" s="20"/>
      <c r="K10" s="20"/>
      <c r="L10" s="20"/>
      <c r="M10" s="2"/>
      <c r="N10" s="2"/>
      <c r="O10" s="2"/>
      <c r="P10" s="2"/>
      <c r="Q10" s="2"/>
      <c r="R10" s="2"/>
      <c r="S10" s="2"/>
      <c r="T10" s="2"/>
      <c r="U10" s="2"/>
      <c r="V10" s="2"/>
      <c r="W10" s="2"/>
      <c r="X10" s="2"/>
      <c r="Y10" s="2"/>
      <c r="Z10" s="2"/>
      <c r="AA10" s="2"/>
      <c r="AB10" s="2"/>
    </row>
    <row r="11" spans="1:28" ht="50" x14ac:dyDescent="0.25">
      <c r="A11" s="11" t="s">
        <v>38</v>
      </c>
      <c r="B11" s="3" t="s">
        <v>39</v>
      </c>
      <c r="C11" s="4">
        <v>46023</v>
      </c>
      <c r="D11" s="4">
        <v>46387</v>
      </c>
      <c r="E11" s="4">
        <v>46023</v>
      </c>
      <c r="F11" s="4" t="s">
        <v>98</v>
      </c>
      <c r="G11" s="3" t="s">
        <v>102</v>
      </c>
      <c r="H11" s="19"/>
      <c r="I11" s="20"/>
      <c r="J11" s="20"/>
      <c r="K11" s="20"/>
      <c r="L11" s="20"/>
      <c r="M11" s="2"/>
      <c r="N11" s="2"/>
      <c r="O11" s="2"/>
      <c r="P11" s="2"/>
      <c r="Q11" s="2"/>
      <c r="R11" s="2"/>
      <c r="S11" s="2"/>
      <c r="T11" s="2"/>
      <c r="U11" s="2"/>
      <c r="V11" s="2"/>
      <c r="W11" s="2"/>
      <c r="X11" s="2"/>
      <c r="Y11" s="2"/>
      <c r="Z11" s="2"/>
      <c r="AA11" s="2"/>
      <c r="AB11" s="2"/>
    </row>
    <row r="12" spans="1:28" ht="37.5" x14ac:dyDescent="0.25">
      <c r="A12" s="11" t="s">
        <v>40</v>
      </c>
      <c r="B12" s="3" t="s">
        <v>41</v>
      </c>
      <c r="C12" s="4">
        <v>46204</v>
      </c>
      <c r="D12" s="4">
        <v>46387</v>
      </c>
      <c r="E12" s="4">
        <v>46296</v>
      </c>
      <c r="F12" s="4" t="s">
        <v>98</v>
      </c>
      <c r="G12" s="3" t="s">
        <v>102</v>
      </c>
      <c r="H12" s="19"/>
      <c r="I12" s="20"/>
      <c r="J12" s="20"/>
      <c r="K12" s="20"/>
      <c r="L12" s="20"/>
      <c r="M12" s="2"/>
      <c r="N12" s="2"/>
      <c r="O12" s="2"/>
      <c r="P12" s="2"/>
      <c r="Q12" s="2"/>
      <c r="R12" s="2"/>
      <c r="S12" s="2"/>
      <c r="T12" s="2"/>
      <c r="U12" s="2"/>
      <c r="V12" s="2"/>
      <c r="W12" s="2"/>
      <c r="X12" s="2"/>
      <c r="Y12" s="2"/>
      <c r="Z12" s="2"/>
      <c r="AA12" s="2"/>
      <c r="AB12" s="2"/>
    </row>
    <row r="13" spans="1:28" ht="28.5" customHeight="1" x14ac:dyDescent="0.35">
      <c r="A13" s="21" t="s">
        <v>42</v>
      </c>
      <c r="B13" s="22"/>
      <c r="C13" s="22"/>
      <c r="D13" s="22"/>
      <c r="E13" s="22"/>
      <c r="F13" s="22"/>
      <c r="G13" s="22"/>
      <c r="H13" s="22"/>
      <c r="I13" s="22"/>
      <c r="J13" s="22"/>
      <c r="K13" s="22"/>
      <c r="L13" s="22"/>
      <c r="M13" s="1"/>
      <c r="N13" s="1"/>
      <c r="O13" s="1"/>
      <c r="P13" s="1"/>
      <c r="Q13" s="1"/>
      <c r="R13" s="1"/>
      <c r="S13" s="1"/>
      <c r="T13" s="1"/>
      <c r="U13" s="1"/>
      <c r="V13" s="1"/>
      <c r="W13" s="1"/>
      <c r="X13" s="1"/>
      <c r="Y13" s="1"/>
      <c r="Z13" s="1"/>
      <c r="AA13" s="1"/>
      <c r="AB13" s="1"/>
    </row>
    <row r="14" spans="1:28" ht="28.5" customHeight="1" x14ac:dyDescent="0.35">
      <c r="A14" s="6" t="s">
        <v>19</v>
      </c>
      <c r="B14" s="6" t="s">
        <v>20</v>
      </c>
      <c r="C14" s="6" t="s">
        <v>21</v>
      </c>
      <c r="D14" s="6" t="s">
        <v>22</v>
      </c>
      <c r="E14" s="6" t="s">
        <v>23</v>
      </c>
      <c r="F14" s="6" t="s">
        <v>24</v>
      </c>
      <c r="G14" s="6" t="s">
        <v>25</v>
      </c>
      <c r="H14" s="23" t="s">
        <v>26</v>
      </c>
      <c r="I14" s="24"/>
      <c r="J14" s="24"/>
      <c r="K14" s="24"/>
      <c r="L14" s="24"/>
      <c r="M14" s="1"/>
      <c r="N14" s="1"/>
      <c r="O14" s="1"/>
      <c r="P14" s="1"/>
      <c r="Q14" s="1"/>
      <c r="R14" s="1"/>
      <c r="S14" s="1"/>
      <c r="T14" s="1"/>
      <c r="U14" s="1"/>
      <c r="V14" s="1"/>
      <c r="W14" s="1"/>
      <c r="X14" s="1"/>
      <c r="Y14" s="1"/>
      <c r="Z14" s="1"/>
      <c r="AA14" s="1"/>
      <c r="AB14" s="1"/>
    </row>
    <row r="15" spans="1:28" ht="32.25" customHeight="1" x14ac:dyDescent="0.25">
      <c r="A15" s="3" t="s">
        <v>80</v>
      </c>
      <c r="B15" s="3" t="s">
        <v>30</v>
      </c>
      <c r="C15" s="4">
        <v>46388</v>
      </c>
      <c r="D15" s="4">
        <v>46421</v>
      </c>
      <c r="E15" s="4" t="s">
        <v>98</v>
      </c>
      <c r="F15" s="4" t="s">
        <v>98</v>
      </c>
      <c r="G15" s="3" t="s">
        <v>27</v>
      </c>
      <c r="H15" s="19" t="s">
        <v>61</v>
      </c>
      <c r="I15" s="20"/>
      <c r="J15" s="20"/>
      <c r="K15" s="20"/>
      <c r="L15" s="20"/>
      <c r="M15" s="2"/>
      <c r="N15" s="2"/>
      <c r="O15" s="2"/>
      <c r="P15" s="2"/>
      <c r="Q15" s="2"/>
      <c r="R15" s="2"/>
      <c r="S15" s="2"/>
      <c r="T15" s="2"/>
      <c r="U15" s="2"/>
      <c r="V15" s="2"/>
      <c r="W15" s="2"/>
      <c r="X15" s="2"/>
      <c r="Y15" s="2"/>
      <c r="Z15" s="2"/>
      <c r="AA15" s="2"/>
      <c r="AB15" s="2"/>
    </row>
    <row r="16" spans="1:28" ht="15.5" x14ac:dyDescent="0.25">
      <c r="A16" s="3" t="s">
        <v>81</v>
      </c>
      <c r="B16" s="3" t="s">
        <v>30</v>
      </c>
      <c r="C16" s="4">
        <v>46415</v>
      </c>
      <c r="D16" s="4">
        <v>46428</v>
      </c>
      <c r="E16" s="4" t="s">
        <v>98</v>
      </c>
      <c r="F16" s="4" t="s">
        <v>98</v>
      </c>
      <c r="G16" s="3" t="s">
        <v>27</v>
      </c>
      <c r="H16" s="19" t="s">
        <v>61</v>
      </c>
      <c r="I16" s="20"/>
      <c r="J16" s="20"/>
      <c r="K16" s="20"/>
      <c r="L16" s="20"/>
      <c r="M16" s="2"/>
      <c r="N16" s="2"/>
      <c r="O16" s="2"/>
      <c r="P16" s="2"/>
      <c r="Q16" s="2"/>
      <c r="R16" s="2"/>
      <c r="S16" s="2"/>
      <c r="T16" s="2"/>
      <c r="U16" s="2"/>
      <c r="V16" s="2"/>
      <c r="W16" s="2"/>
      <c r="X16" s="2"/>
      <c r="Y16" s="2"/>
      <c r="Z16" s="2"/>
      <c r="AA16" s="2"/>
      <c r="AB16" s="2"/>
    </row>
    <row r="17" spans="1:28" ht="15.5" x14ac:dyDescent="0.25">
      <c r="A17" s="3" t="s">
        <v>86</v>
      </c>
      <c r="B17" s="3" t="s">
        <v>30</v>
      </c>
      <c r="C17" s="4">
        <v>46415</v>
      </c>
      <c r="D17" s="4">
        <v>46484</v>
      </c>
      <c r="E17" s="4" t="s">
        <v>98</v>
      </c>
      <c r="F17" s="4" t="s">
        <v>98</v>
      </c>
      <c r="G17" s="3" t="s">
        <v>27</v>
      </c>
      <c r="H17" s="19" t="s">
        <v>61</v>
      </c>
      <c r="I17" s="20"/>
      <c r="J17" s="20"/>
      <c r="K17" s="20"/>
      <c r="L17" s="20"/>
      <c r="M17" s="2"/>
      <c r="N17" s="2"/>
      <c r="O17" s="2"/>
      <c r="P17" s="2"/>
      <c r="Q17" s="2"/>
      <c r="R17" s="2"/>
      <c r="S17" s="2"/>
      <c r="T17" s="2"/>
      <c r="U17" s="2"/>
      <c r="V17" s="2"/>
      <c r="W17" s="2"/>
      <c r="X17" s="2"/>
      <c r="Y17" s="2"/>
      <c r="Z17" s="2"/>
      <c r="AA17" s="2"/>
      <c r="AB17" s="2"/>
    </row>
    <row r="18" spans="1:28" ht="28.5" customHeight="1" x14ac:dyDescent="0.25">
      <c r="A18" s="3" t="s">
        <v>31</v>
      </c>
      <c r="B18" s="3" t="s">
        <v>30</v>
      </c>
      <c r="C18" s="4">
        <v>46436</v>
      </c>
      <c r="D18" s="4">
        <v>46477</v>
      </c>
      <c r="E18" s="4" t="s">
        <v>98</v>
      </c>
      <c r="F18" s="4" t="s">
        <v>98</v>
      </c>
      <c r="G18" s="3" t="s">
        <v>27</v>
      </c>
      <c r="H18" s="19" t="s">
        <v>61</v>
      </c>
      <c r="I18" s="20"/>
      <c r="J18" s="20"/>
      <c r="K18" s="20"/>
      <c r="L18" s="20"/>
      <c r="M18" s="2"/>
      <c r="N18" s="2"/>
      <c r="O18" s="2"/>
      <c r="P18" s="2"/>
      <c r="Q18" s="2"/>
      <c r="R18" s="2"/>
      <c r="S18" s="2"/>
      <c r="T18" s="2"/>
      <c r="U18" s="2"/>
      <c r="V18" s="2"/>
      <c r="W18" s="2"/>
      <c r="X18" s="2"/>
      <c r="Y18" s="2"/>
      <c r="Z18" s="2"/>
      <c r="AA18" s="2"/>
      <c r="AB18" s="2"/>
    </row>
    <row r="19" spans="1:28" ht="28.5" customHeight="1" x14ac:dyDescent="0.25">
      <c r="A19" s="3" t="s">
        <v>87</v>
      </c>
      <c r="B19" s="3" t="s">
        <v>30</v>
      </c>
      <c r="C19" s="4">
        <v>46464</v>
      </c>
      <c r="D19" s="4">
        <v>46451</v>
      </c>
      <c r="E19" s="4" t="s">
        <v>98</v>
      </c>
      <c r="F19" s="4" t="s">
        <v>98</v>
      </c>
      <c r="G19" s="3" t="s">
        <v>27</v>
      </c>
      <c r="H19" s="16" t="s">
        <v>61</v>
      </c>
      <c r="I19" s="17"/>
      <c r="J19" s="17"/>
      <c r="K19" s="17"/>
      <c r="L19" s="18"/>
      <c r="M19" s="2"/>
      <c r="N19" s="2"/>
      <c r="O19" s="2"/>
      <c r="P19" s="2"/>
      <c r="Q19" s="2"/>
      <c r="R19" s="2"/>
      <c r="S19" s="2"/>
      <c r="T19" s="2"/>
      <c r="U19" s="2"/>
      <c r="V19" s="2"/>
      <c r="W19" s="2"/>
      <c r="X19" s="2"/>
      <c r="Y19" s="2"/>
      <c r="Z19" s="2"/>
      <c r="AA19" s="2"/>
      <c r="AB19" s="2"/>
    </row>
    <row r="20" spans="1:28" ht="15.75" customHeight="1" x14ac:dyDescent="0.25">
      <c r="A20" s="3" t="s">
        <v>84</v>
      </c>
      <c r="B20" s="3" t="s">
        <v>30</v>
      </c>
      <c r="C20" s="4">
        <v>46422</v>
      </c>
      <c r="D20" s="4">
        <v>46505</v>
      </c>
      <c r="E20" s="4" t="s">
        <v>98</v>
      </c>
      <c r="F20" s="4" t="s">
        <v>98</v>
      </c>
      <c r="G20" s="3" t="s">
        <v>27</v>
      </c>
      <c r="H20" s="19" t="s">
        <v>61</v>
      </c>
      <c r="I20" s="20"/>
      <c r="J20" s="20"/>
      <c r="K20" s="20"/>
      <c r="L20" s="20"/>
      <c r="M20" s="2"/>
      <c r="N20" s="2"/>
      <c r="O20" s="2"/>
      <c r="P20" s="2"/>
      <c r="Q20" s="2"/>
      <c r="R20" s="2"/>
      <c r="S20" s="2"/>
      <c r="T20" s="2"/>
      <c r="U20" s="2"/>
      <c r="V20" s="2"/>
      <c r="W20" s="2"/>
      <c r="X20" s="2"/>
      <c r="Y20" s="2"/>
      <c r="Z20" s="2"/>
      <c r="AA20" s="2"/>
      <c r="AB20" s="2"/>
    </row>
    <row r="21" spans="1:28" ht="15.75" customHeight="1" x14ac:dyDescent="0.25">
      <c r="A21" s="3" t="s">
        <v>85</v>
      </c>
      <c r="B21" s="3" t="s">
        <v>30</v>
      </c>
      <c r="C21" s="4">
        <v>46422</v>
      </c>
      <c r="D21" s="4">
        <v>46463</v>
      </c>
      <c r="E21" s="4" t="s">
        <v>98</v>
      </c>
      <c r="F21" s="4" t="s">
        <v>98</v>
      </c>
      <c r="G21" s="3" t="s">
        <v>27</v>
      </c>
      <c r="H21" s="19" t="s">
        <v>61</v>
      </c>
      <c r="I21" s="20"/>
      <c r="J21" s="20"/>
      <c r="K21" s="20"/>
      <c r="L21" s="20"/>
      <c r="M21" s="2"/>
      <c r="N21" s="2"/>
      <c r="O21" s="2"/>
      <c r="P21" s="2"/>
      <c r="Q21" s="2"/>
      <c r="R21" s="2"/>
      <c r="S21" s="2"/>
      <c r="T21" s="2"/>
      <c r="U21" s="2"/>
      <c r="V21" s="2"/>
      <c r="W21" s="2"/>
      <c r="X21" s="2"/>
      <c r="Y21" s="2"/>
      <c r="Z21" s="2"/>
      <c r="AA21" s="2"/>
      <c r="AB21" s="2"/>
    </row>
    <row r="22" spans="1:28" ht="28.5" customHeight="1" x14ac:dyDescent="0.25">
      <c r="A22" s="3" t="s">
        <v>88</v>
      </c>
      <c r="B22" s="3" t="s">
        <v>30</v>
      </c>
      <c r="C22" s="4">
        <v>46506</v>
      </c>
      <c r="D22" s="4">
        <v>46547</v>
      </c>
      <c r="E22" s="4" t="s">
        <v>98</v>
      </c>
      <c r="F22" s="4" t="s">
        <v>98</v>
      </c>
      <c r="G22" s="3" t="s">
        <v>27</v>
      </c>
      <c r="H22" s="16" t="s">
        <v>63</v>
      </c>
      <c r="I22" s="17"/>
      <c r="J22" s="17"/>
      <c r="K22" s="17"/>
      <c r="L22" s="18"/>
      <c r="M22" s="2"/>
      <c r="N22" s="2"/>
      <c r="O22" s="2"/>
      <c r="P22" s="2"/>
      <c r="Q22" s="2"/>
      <c r="R22" s="2"/>
      <c r="S22" s="2"/>
      <c r="T22" s="2"/>
      <c r="U22" s="2"/>
      <c r="V22" s="2"/>
      <c r="W22" s="2"/>
      <c r="X22" s="2"/>
      <c r="Y22" s="2"/>
      <c r="Z22" s="2"/>
      <c r="AA22" s="2"/>
      <c r="AB22" s="2"/>
    </row>
    <row r="23" spans="1:28" ht="28.5" customHeight="1" x14ac:dyDescent="0.25">
      <c r="A23" s="3" t="s">
        <v>89</v>
      </c>
      <c r="B23" s="3" t="s">
        <v>90</v>
      </c>
      <c r="C23" s="4">
        <v>46548</v>
      </c>
      <c r="D23" s="4">
        <v>46568</v>
      </c>
      <c r="E23" s="4" t="s">
        <v>98</v>
      </c>
      <c r="F23" s="4" t="s">
        <v>98</v>
      </c>
      <c r="G23" s="3" t="s">
        <v>27</v>
      </c>
      <c r="H23" s="16" t="s">
        <v>63</v>
      </c>
      <c r="I23" s="17"/>
      <c r="J23" s="17"/>
      <c r="K23" s="17"/>
      <c r="L23" s="18"/>
      <c r="M23" s="2"/>
      <c r="N23" s="2"/>
      <c r="O23" s="2"/>
      <c r="P23" s="2"/>
      <c r="Q23" s="2"/>
      <c r="R23" s="2"/>
      <c r="S23" s="2"/>
      <c r="T23" s="2"/>
      <c r="U23" s="2"/>
      <c r="V23" s="2"/>
      <c r="W23" s="2"/>
      <c r="X23" s="2"/>
      <c r="Y23" s="2"/>
      <c r="Z23" s="2"/>
      <c r="AA23" s="2"/>
      <c r="AB23" s="2"/>
    </row>
    <row r="24" spans="1:28" ht="28.5" customHeight="1" x14ac:dyDescent="0.25">
      <c r="A24" s="3" t="s">
        <v>103</v>
      </c>
      <c r="B24" s="3" t="s">
        <v>90</v>
      </c>
      <c r="C24" s="4">
        <v>46569</v>
      </c>
      <c r="D24" s="4">
        <v>46589</v>
      </c>
      <c r="E24" s="4" t="s">
        <v>98</v>
      </c>
      <c r="F24" s="4" t="s">
        <v>98</v>
      </c>
      <c r="G24" s="3" t="s">
        <v>27</v>
      </c>
      <c r="H24" s="16" t="s">
        <v>63</v>
      </c>
      <c r="I24" s="17"/>
      <c r="J24" s="17"/>
      <c r="K24" s="17"/>
      <c r="L24" s="18"/>
      <c r="M24" s="2"/>
      <c r="N24" s="2"/>
      <c r="O24" s="2"/>
      <c r="P24" s="2"/>
      <c r="Q24" s="2"/>
      <c r="R24" s="2"/>
      <c r="S24" s="2"/>
      <c r="T24" s="2"/>
      <c r="U24" s="2"/>
      <c r="V24" s="2"/>
      <c r="W24" s="2"/>
      <c r="X24" s="2"/>
      <c r="Y24" s="2"/>
      <c r="Z24" s="2"/>
      <c r="AA24" s="2"/>
      <c r="AB24" s="2"/>
    </row>
    <row r="25" spans="1:28" ht="28.5" customHeight="1" x14ac:dyDescent="0.25">
      <c r="A25" s="3" t="s">
        <v>104</v>
      </c>
      <c r="B25" s="3" t="s">
        <v>90</v>
      </c>
      <c r="C25" s="4">
        <v>46590</v>
      </c>
      <c r="D25" s="4">
        <v>46610</v>
      </c>
      <c r="E25" s="4" t="s">
        <v>98</v>
      </c>
      <c r="F25" s="4" t="s">
        <v>98</v>
      </c>
      <c r="G25" s="3" t="s">
        <v>27</v>
      </c>
      <c r="H25" s="16" t="s">
        <v>63</v>
      </c>
      <c r="I25" s="17"/>
      <c r="J25" s="17"/>
      <c r="K25" s="17"/>
      <c r="L25" s="18"/>
      <c r="M25" s="2"/>
      <c r="N25" s="2"/>
      <c r="O25" s="2"/>
      <c r="P25" s="2"/>
      <c r="Q25" s="2"/>
      <c r="R25" s="2"/>
      <c r="S25" s="2"/>
      <c r="T25" s="2"/>
      <c r="U25" s="2"/>
      <c r="V25" s="2"/>
      <c r="W25" s="2"/>
      <c r="X25" s="2"/>
      <c r="Y25" s="2"/>
      <c r="Z25" s="2"/>
      <c r="AA25" s="2"/>
      <c r="AB25" s="2"/>
    </row>
    <row r="26" spans="1:28" ht="28.5" customHeight="1" x14ac:dyDescent="0.25">
      <c r="A26" s="3" t="s">
        <v>105</v>
      </c>
      <c r="B26" s="3" t="s">
        <v>90</v>
      </c>
      <c r="C26" s="4">
        <v>46506</v>
      </c>
      <c r="D26" s="4">
        <v>46547</v>
      </c>
      <c r="E26" s="4" t="s">
        <v>98</v>
      </c>
      <c r="F26" s="4" t="s">
        <v>98</v>
      </c>
      <c r="G26" s="3" t="s">
        <v>27</v>
      </c>
      <c r="H26" s="16" t="s">
        <v>63</v>
      </c>
      <c r="I26" s="17"/>
      <c r="J26" s="17"/>
      <c r="K26" s="17"/>
      <c r="L26" s="18"/>
      <c r="M26" s="2"/>
      <c r="N26" s="2"/>
      <c r="O26" s="2"/>
      <c r="P26" s="2"/>
      <c r="Q26" s="2"/>
      <c r="R26" s="2"/>
      <c r="S26" s="2"/>
      <c r="T26" s="2"/>
      <c r="U26" s="2"/>
      <c r="V26" s="2"/>
      <c r="W26" s="2"/>
      <c r="X26" s="2"/>
      <c r="Y26" s="2"/>
      <c r="Z26" s="2"/>
      <c r="AA26" s="2"/>
      <c r="AB26" s="2"/>
    </row>
    <row r="27" spans="1:28" ht="91.5" customHeight="1" x14ac:dyDescent="0.25">
      <c r="A27" s="3" t="s">
        <v>64</v>
      </c>
      <c r="B27" s="3" t="s">
        <v>30</v>
      </c>
      <c r="C27" s="4">
        <v>46458</v>
      </c>
      <c r="D27" s="4">
        <v>46506</v>
      </c>
      <c r="E27" s="4" t="s">
        <v>98</v>
      </c>
      <c r="F27" s="4" t="s">
        <v>98</v>
      </c>
      <c r="G27" s="3" t="s">
        <v>27</v>
      </c>
      <c r="H27" s="19" t="s">
        <v>65</v>
      </c>
      <c r="I27" s="20"/>
      <c r="J27" s="20"/>
      <c r="K27" s="20"/>
      <c r="L27" s="20"/>
      <c r="M27" s="2"/>
      <c r="N27" s="2"/>
      <c r="O27" s="2"/>
      <c r="P27" s="2"/>
      <c r="Q27" s="2"/>
      <c r="R27" s="2"/>
      <c r="S27" s="2"/>
      <c r="T27" s="2"/>
      <c r="U27" s="2"/>
      <c r="V27" s="2"/>
      <c r="W27" s="2"/>
      <c r="X27" s="2"/>
      <c r="Y27" s="2"/>
      <c r="Z27" s="2"/>
      <c r="AA27" s="2"/>
      <c r="AB27" s="2"/>
    </row>
    <row r="28" spans="1:28" ht="28.5" customHeight="1" x14ac:dyDescent="0.25">
      <c r="A28" s="3" t="s">
        <v>43</v>
      </c>
      <c r="B28" s="3" t="s">
        <v>30</v>
      </c>
      <c r="C28" s="4">
        <v>46611</v>
      </c>
      <c r="D28" s="4">
        <v>46631</v>
      </c>
      <c r="E28" s="4" t="s">
        <v>98</v>
      </c>
      <c r="F28" s="4" t="s">
        <v>98</v>
      </c>
      <c r="G28" s="3" t="s">
        <v>27</v>
      </c>
      <c r="H28" s="19" t="s">
        <v>68</v>
      </c>
      <c r="I28" s="20"/>
      <c r="J28" s="20"/>
      <c r="K28" s="20"/>
      <c r="L28" s="20"/>
      <c r="M28" s="2"/>
      <c r="N28" s="2"/>
      <c r="O28" s="2"/>
      <c r="P28" s="2"/>
      <c r="Q28" s="2"/>
      <c r="R28" s="2"/>
      <c r="S28" s="2"/>
      <c r="T28" s="2"/>
      <c r="U28" s="2"/>
      <c r="V28" s="2"/>
      <c r="W28" s="2"/>
      <c r="X28" s="2"/>
      <c r="Y28" s="2"/>
      <c r="Z28" s="2"/>
      <c r="AA28" s="2"/>
      <c r="AB28" s="2"/>
    </row>
    <row r="29" spans="1:28" ht="28.5" customHeight="1" x14ac:dyDescent="0.25">
      <c r="A29" s="3" t="s">
        <v>44</v>
      </c>
      <c r="B29" s="3" t="s">
        <v>30</v>
      </c>
      <c r="C29" s="4">
        <v>46632</v>
      </c>
      <c r="D29" s="4">
        <v>46652</v>
      </c>
      <c r="E29" s="4" t="s">
        <v>98</v>
      </c>
      <c r="F29" s="4" t="s">
        <v>98</v>
      </c>
      <c r="G29" s="3" t="s">
        <v>27</v>
      </c>
      <c r="H29" s="19" t="s">
        <v>69</v>
      </c>
      <c r="I29" s="20"/>
      <c r="J29" s="20"/>
      <c r="K29" s="20"/>
      <c r="L29" s="20"/>
      <c r="M29" s="2"/>
      <c r="N29" s="2"/>
      <c r="O29" s="2"/>
      <c r="P29" s="2"/>
      <c r="Q29" s="2"/>
      <c r="R29" s="2"/>
      <c r="S29" s="2"/>
      <c r="T29" s="2"/>
      <c r="U29" s="2"/>
      <c r="V29" s="2"/>
      <c r="W29" s="2"/>
      <c r="X29" s="2"/>
      <c r="Y29" s="2"/>
      <c r="Z29" s="2"/>
      <c r="AA29" s="2"/>
      <c r="AB29" s="2"/>
    </row>
    <row r="30" spans="1:28" ht="28.5" customHeight="1" x14ac:dyDescent="0.25">
      <c r="A30" s="3" t="s">
        <v>45</v>
      </c>
      <c r="B30" s="3" t="s">
        <v>33</v>
      </c>
      <c r="C30" s="4">
        <v>46632</v>
      </c>
      <c r="D30" s="4">
        <v>46652</v>
      </c>
      <c r="E30" s="4" t="s">
        <v>98</v>
      </c>
      <c r="F30" s="4" t="s">
        <v>98</v>
      </c>
      <c r="G30" s="3" t="s">
        <v>27</v>
      </c>
      <c r="H30" s="19" t="s">
        <v>70</v>
      </c>
      <c r="I30" s="20"/>
      <c r="J30" s="20"/>
      <c r="K30" s="20"/>
      <c r="L30" s="20"/>
      <c r="M30" s="2"/>
      <c r="N30" s="2"/>
      <c r="O30" s="2"/>
      <c r="P30" s="2"/>
      <c r="Q30" s="2"/>
      <c r="R30" s="2"/>
      <c r="S30" s="2"/>
      <c r="T30" s="2"/>
      <c r="U30" s="2"/>
      <c r="V30" s="2"/>
      <c r="W30" s="2"/>
      <c r="X30" s="2"/>
      <c r="Y30" s="2"/>
      <c r="Z30" s="2"/>
      <c r="AA30" s="2"/>
      <c r="AB30" s="2"/>
    </row>
    <row r="31" spans="1:28" ht="75" x14ac:dyDescent="0.25">
      <c r="A31" s="3" t="s">
        <v>46</v>
      </c>
      <c r="B31" s="3" t="s">
        <v>47</v>
      </c>
      <c r="C31" s="4">
        <v>46652</v>
      </c>
      <c r="D31" s="4">
        <v>46652</v>
      </c>
      <c r="E31" s="4" t="s">
        <v>98</v>
      </c>
      <c r="F31" s="4" t="s">
        <v>98</v>
      </c>
      <c r="G31" s="3" t="s">
        <v>27</v>
      </c>
      <c r="H31" s="19" t="s">
        <v>71</v>
      </c>
      <c r="I31" s="20"/>
      <c r="J31" s="20"/>
      <c r="K31" s="20"/>
      <c r="L31" s="20"/>
      <c r="M31" s="2"/>
      <c r="N31" s="2"/>
      <c r="O31" s="2"/>
      <c r="P31" s="2"/>
      <c r="Q31" s="2"/>
      <c r="R31" s="2"/>
      <c r="S31" s="2"/>
      <c r="T31" s="2"/>
      <c r="U31" s="2"/>
      <c r="V31" s="2"/>
      <c r="W31" s="2"/>
      <c r="X31" s="2"/>
      <c r="Y31" s="2"/>
      <c r="Z31" s="2"/>
      <c r="AA31" s="2"/>
      <c r="AB31" s="2"/>
    </row>
    <row r="32" spans="1:28" ht="25" x14ac:dyDescent="0.25">
      <c r="A32" s="3" t="s">
        <v>75</v>
      </c>
      <c r="B32" s="3" t="s">
        <v>30</v>
      </c>
      <c r="C32" s="4">
        <v>46600</v>
      </c>
      <c r="D32" s="4">
        <v>46873</v>
      </c>
      <c r="E32" s="4" t="s">
        <v>98</v>
      </c>
      <c r="F32" s="4" t="s">
        <v>98</v>
      </c>
      <c r="G32" s="3" t="s">
        <v>27</v>
      </c>
      <c r="H32" s="19" t="s">
        <v>76</v>
      </c>
      <c r="I32" s="20"/>
      <c r="J32" s="20"/>
      <c r="K32" s="20"/>
      <c r="L32" s="20"/>
      <c r="M32" s="2"/>
      <c r="N32" s="2"/>
      <c r="O32" s="2"/>
      <c r="P32" s="2"/>
      <c r="Q32" s="2"/>
      <c r="R32" s="2"/>
      <c r="S32" s="2"/>
      <c r="T32" s="2"/>
      <c r="U32" s="2"/>
      <c r="V32" s="2"/>
      <c r="W32" s="2"/>
      <c r="X32" s="2"/>
      <c r="Y32" s="2"/>
      <c r="Z32" s="2"/>
      <c r="AA32" s="2"/>
      <c r="AB32" s="2"/>
    </row>
    <row r="33" spans="1:28" ht="46.5" customHeight="1" x14ac:dyDescent="0.25">
      <c r="A33" s="3" t="s">
        <v>48</v>
      </c>
      <c r="B33" s="3" t="s">
        <v>33</v>
      </c>
      <c r="C33" s="4">
        <v>46388</v>
      </c>
      <c r="D33" s="4">
        <v>46477</v>
      </c>
      <c r="E33" s="4" t="s">
        <v>98</v>
      </c>
      <c r="F33" s="4" t="s">
        <v>98</v>
      </c>
      <c r="G33" s="3" t="s">
        <v>27</v>
      </c>
      <c r="H33" s="19" t="s">
        <v>72</v>
      </c>
      <c r="I33" s="20"/>
      <c r="J33" s="20"/>
      <c r="K33" s="20"/>
      <c r="L33" s="20"/>
      <c r="M33" s="2"/>
      <c r="N33" s="2"/>
      <c r="O33" s="2"/>
      <c r="P33" s="2"/>
      <c r="Q33" s="2"/>
      <c r="R33" s="2"/>
      <c r="S33" s="2"/>
      <c r="T33" s="2"/>
      <c r="U33" s="2"/>
      <c r="V33" s="2"/>
      <c r="W33" s="2"/>
      <c r="X33" s="2"/>
      <c r="Y33" s="2"/>
      <c r="Z33" s="2"/>
      <c r="AA33" s="2"/>
      <c r="AB33" s="2"/>
    </row>
    <row r="34" spans="1:28" ht="28.5" customHeight="1" x14ac:dyDescent="0.25">
      <c r="A34" s="3" t="s">
        <v>49</v>
      </c>
      <c r="B34" s="3" t="s">
        <v>37</v>
      </c>
      <c r="C34" s="4">
        <v>46388</v>
      </c>
      <c r="D34" s="4">
        <v>46752</v>
      </c>
      <c r="E34" s="4" t="s">
        <v>98</v>
      </c>
      <c r="F34" s="4" t="s">
        <v>98</v>
      </c>
      <c r="G34" s="3" t="s">
        <v>27</v>
      </c>
      <c r="H34" s="19" t="s">
        <v>73</v>
      </c>
      <c r="I34" s="20"/>
      <c r="J34" s="20"/>
      <c r="K34" s="20"/>
      <c r="L34" s="20"/>
      <c r="M34" s="2"/>
      <c r="N34" s="2"/>
      <c r="O34" s="2"/>
      <c r="P34" s="2"/>
      <c r="Q34" s="2"/>
      <c r="R34" s="2"/>
      <c r="S34" s="2"/>
      <c r="T34" s="2"/>
      <c r="U34" s="2"/>
      <c r="V34" s="2"/>
      <c r="W34" s="2"/>
      <c r="X34" s="2"/>
      <c r="Y34" s="2"/>
      <c r="Z34" s="2"/>
      <c r="AA34" s="2"/>
      <c r="AB34" s="2"/>
    </row>
    <row r="35" spans="1:28" ht="28.5" customHeight="1" x14ac:dyDescent="0.25">
      <c r="A35" s="3" t="s">
        <v>50</v>
      </c>
      <c r="B35" s="3" t="s">
        <v>37</v>
      </c>
      <c r="C35" s="4">
        <v>46388</v>
      </c>
      <c r="D35" s="4">
        <v>46752</v>
      </c>
      <c r="E35" s="4" t="s">
        <v>98</v>
      </c>
      <c r="F35" s="4" t="s">
        <v>98</v>
      </c>
      <c r="G35" s="3" t="s">
        <v>27</v>
      </c>
      <c r="H35" s="19" t="s">
        <v>66</v>
      </c>
      <c r="I35" s="20"/>
      <c r="J35" s="20"/>
      <c r="K35" s="20"/>
      <c r="L35" s="20"/>
      <c r="M35" s="2"/>
      <c r="N35" s="2"/>
      <c r="O35" s="2"/>
      <c r="P35" s="2"/>
      <c r="Q35" s="2"/>
      <c r="R35" s="2"/>
      <c r="S35" s="2"/>
      <c r="T35" s="2"/>
      <c r="U35" s="2"/>
      <c r="V35" s="2"/>
      <c r="W35" s="2"/>
      <c r="X35" s="2"/>
      <c r="Y35" s="2"/>
      <c r="Z35" s="2"/>
      <c r="AA35" s="2"/>
      <c r="AB35" s="2"/>
    </row>
    <row r="36" spans="1:28" ht="28.5" customHeight="1" x14ac:dyDescent="0.25">
      <c r="A36" s="3" t="s">
        <v>51</v>
      </c>
      <c r="B36" s="3" t="s">
        <v>52</v>
      </c>
      <c r="C36" s="4">
        <v>46388</v>
      </c>
      <c r="D36" s="4">
        <v>46752</v>
      </c>
      <c r="E36" s="4" t="s">
        <v>98</v>
      </c>
      <c r="F36" s="4" t="s">
        <v>98</v>
      </c>
      <c r="G36" s="3" t="s">
        <v>27</v>
      </c>
      <c r="H36" s="19"/>
      <c r="I36" s="20"/>
      <c r="J36" s="20"/>
      <c r="K36" s="20"/>
      <c r="L36" s="20"/>
      <c r="M36" s="2"/>
      <c r="N36" s="2"/>
      <c r="O36" s="2"/>
      <c r="P36" s="2"/>
      <c r="Q36" s="2"/>
      <c r="R36" s="2"/>
      <c r="S36" s="2"/>
      <c r="T36" s="2"/>
      <c r="U36" s="2"/>
      <c r="V36" s="2"/>
      <c r="W36" s="2"/>
      <c r="X36" s="2"/>
      <c r="Y36" s="2"/>
      <c r="Z36" s="2"/>
      <c r="AA36" s="2"/>
      <c r="AB36" s="2"/>
    </row>
    <row r="37" spans="1:28" ht="28.5" customHeight="1" x14ac:dyDescent="0.25">
      <c r="A37" s="3" t="s">
        <v>53</v>
      </c>
      <c r="B37" s="3" t="s">
        <v>37</v>
      </c>
      <c r="C37" s="4">
        <v>46388</v>
      </c>
      <c r="D37" s="4">
        <v>46752</v>
      </c>
      <c r="E37" s="4" t="s">
        <v>98</v>
      </c>
      <c r="F37" s="4" t="s">
        <v>98</v>
      </c>
      <c r="G37" s="3" t="s">
        <v>27</v>
      </c>
      <c r="H37" s="19" t="s">
        <v>67</v>
      </c>
      <c r="I37" s="20"/>
      <c r="J37" s="20"/>
      <c r="K37" s="20"/>
      <c r="L37" s="20"/>
      <c r="M37" s="2"/>
      <c r="N37" s="2"/>
      <c r="O37" s="2"/>
      <c r="P37" s="2"/>
      <c r="Q37" s="2"/>
      <c r="R37" s="2"/>
      <c r="S37" s="2"/>
      <c r="T37" s="2"/>
      <c r="U37" s="2"/>
      <c r="V37" s="2"/>
      <c r="W37" s="2"/>
      <c r="X37" s="2"/>
      <c r="Y37" s="2"/>
      <c r="Z37" s="2"/>
      <c r="AA37" s="2"/>
      <c r="AB37" s="2"/>
    </row>
    <row r="38" spans="1:28" ht="28.5" customHeight="1" x14ac:dyDescent="0.25">
      <c r="A38" s="3" t="s">
        <v>54</v>
      </c>
      <c r="B38" s="3" t="s">
        <v>37</v>
      </c>
      <c r="C38" s="4">
        <v>46388</v>
      </c>
      <c r="D38" s="4">
        <v>46752</v>
      </c>
      <c r="E38" s="4" t="s">
        <v>98</v>
      </c>
      <c r="F38" s="4" t="s">
        <v>98</v>
      </c>
      <c r="G38" s="3" t="s">
        <v>27</v>
      </c>
      <c r="H38" s="19"/>
      <c r="I38" s="20"/>
      <c r="J38" s="20"/>
      <c r="K38" s="20"/>
      <c r="L38" s="20"/>
      <c r="M38" s="2"/>
      <c r="N38" s="2"/>
      <c r="O38" s="2"/>
      <c r="P38" s="2"/>
      <c r="Q38" s="2"/>
      <c r="R38" s="2"/>
      <c r="S38" s="2"/>
      <c r="T38" s="2"/>
      <c r="U38" s="2"/>
      <c r="V38" s="2"/>
      <c r="W38" s="2"/>
      <c r="X38" s="2"/>
      <c r="Y38" s="2"/>
      <c r="Z38" s="2"/>
      <c r="AA38" s="2"/>
      <c r="AB38" s="2"/>
    </row>
    <row r="39" spans="1:28" ht="28.5" customHeight="1" x14ac:dyDescent="0.25">
      <c r="A39" s="21" t="s">
        <v>28</v>
      </c>
      <c r="B39" s="22"/>
      <c r="C39" s="22"/>
      <c r="D39" s="22"/>
      <c r="E39" s="22"/>
      <c r="F39" s="22"/>
      <c r="G39" s="22"/>
      <c r="H39" s="22"/>
      <c r="I39" s="22"/>
      <c r="J39" s="22"/>
      <c r="K39" s="22"/>
      <c r="L39" s="22"/>
    </row>
    <row r="40" spans="1:28" ht="28" x14ac:dyDescent="0.25">
      <c r="A40" s="6" t="s">
        <v>19</v>
      </c>
      <c r="B40" s="6" t="s">
        <v>20</v>
      </c>
      <c r="C40" s="6" t="s">
        <v>21</v>
      </c>
      <c r="D40" s="6" t="s">
        <v>22</v>
      </c>
      <c r="E40" s="6" t="s">
        <v>23</v>
      </c>
      <c r="F40" s="6" t="s">
        <v>24</v>
      </c>
      <c r="G40" s="6" t="s">
        <v>25</v>
      </c>
      <c r="H40" s="23" t="s">
        <v>26</v>
      </c>
      <c r="I40" s="24"/>
      <c r="J40" s="24"/>
      <c r="K40" s="24"/>
      <c r="L40" s="24"/>
    </row>
    <row r="41" spans="1:28" ht="29.5" customHeight="1" x14ac:dyDescent="0.25">
      <c r="A41" s="3" t="s">
        <v>55</v>
      </c>
      <c r="B41" s="3" t="s">
        <v>37</v>
      </c>
      <c r="C41" s="4">
        <v>46753</v>
      </c>
      <c r="D41" s="4">
        <v>47118</v>
      </c>
      <c r="E41" s="4" t="s">
        <v>98</v>
      </c>
      <c r="F41" s="4" t="s">
        <v>98</v>
      </c>
      <c r="G41" s="3" t="s">
        <v>27</v>
      </c>
      <c r="H41" s="19"/>
      <c r="I41" s="20"/>
      <c r="J41" s="20"/>
      <c r="K41" s="20"/>
      <c r="L41" s="20"/>
    </row>
    <row r="42" spans="1:28" ht="29.5" customHeight="1" x14ac:dyDescent="0.25">
      <c r="A42" s="3" t="s">
        <v>56</v>
      </c>
      <c r="B42" s="3" t="s">
        <v>37</v>
      </c>
      <c r="C42" s="4">
        <v>46753</v>
      </c>
      <c r="D42" s="4">
        <v>47118</v>
      </c>
      <c r="E42" s="4" t="s">
        <v>98</v>
      </c>
      <c r="F42" s="4" t="s">
        <v>98</v>
      </c>
      <c r="G42" s="3" t="s">
        <v>27</v>
      </c>
      <c r="H42" s="19"/>
      <c r="I42" s="20"/>
      <c r="J42" s="20"/>
      <c r="K42" s="20"/>
      <c r="L42" s="20"/>
    </row>
    <row r="43" spans="1:28" ht="38.25" customHeight="1" x14ac:dyDescent="0.25">
      <c r="A43" s="3" t="s">
        <v>57</v>
      </c>
      <c r="B43" s="3" t="s">
        <v>37</v>
      </c>
      <c r="C43" s="4">
        <v>46753</v>
      </c>
      <c r="D43" s="4">
        <v>47118</v>
      </c>
      <c r="E43" s="4" t="s">
        <v>98</v>
      </c>
      <c r="F43" s="4" t="s">
        <v>98</v>
      </c>
      <c r="G43" s="3" t="s">
        <v>27</v>
      </c>
      <c r="H43" s="19" t="s">
        <v>74</v>
      </c>
      <c r="I43" s="20"/>
      <c r="J43" s="20"/>
      <c r="K43" s="20"/>
      <c r="L43" s="20"/>
    </row>
    <row r="44" spans="1:28" ht="29.5" customHeight="1" x14ac:dyDescent="0.25">
      <c r="A44" s="3" t="s">
        <v>58</v>
      </c>
      <c r="B44" s="3" t="s">
        <v>37</v>
      </c>
      <c r="C44" s="4">
        <v>46388</v>
      </c>
      <c r="D44" s="4">
        <v>47118</v>
      </c>
      <c r="E44" s="4" t="s">
        <v>98</v>
      </c>
      <c r="F44" s="4" t="s">
        <v>98</v>
      </c>
      <c r="G44" s="3" t="s">
        <v>27</v>
      </c>
      <c r="H44" s="19"/>
      <c r="I44" s="20"/>
      <c r="J44" s="20"/>
      <c r="K44" s="20"/>
      <c r="L44" s="20"/>
    </row>
    <row r="45" spans="1:28" ht="22" customHeight="1" x14ac:dyDescent="0.25"/>
    <row r="46" spans="1:28" ht="22" customHeight="1" x14ac:dyDescent="0.25"/>
    <row r="47" spans="1:28" ht="22" customHeight="1" x14ac:dyDescent="0.25"/>
    <row r="48" spans="1:28" ht="22" customHeight="1" x14ac:dyDescent="0.25"/>
    <row r="49" ht="22" customHeight="1" x14ac:dyDescent="0.25"/>
    <row r="50" ht="22" customHeight="1" x14ac:dyDescent="0.25"/>
    <row r="51" ht="22" customHeight="1" x14ac:dyDescent="0.25"/>
    <row r="52" ht="22" customHeight="1" x14ac:dyDescent="0.25"/>
    <row r="53" ht="22" customHeight="1" x14ac:dyDescent="0.25"/>
    <row r="54" ht="22" customHeight="1" x14ac:dyDescent="0.25"/>
    <row r="55" ht="22" customHeight="1" x14ac:dyDescent="0.25"/>
    <row r="56" ht="22" customHeight="1" x14ac:dyDescent="0.25"/>
    <row r="57" ht="22" customHeight="1" x14ac:dyDescent="0.25"/>
    <row r="58" ht="22" customHeight="1" x14ac:dyDescent="0.25"/>
    <row r="59" ht="22" customHeight="1" x14ac:dyDescent="0.25"/>
    <row r="60" ht="22" customHeight="1" x14ac:dyDescent="0.25"/>
    <row r="61" ht="22" customHeight="1" x14ac:dyDescent="0.25"/>
    <row r="62" ht="22" customHeight="1" x14ac:dyDescent="0.25"/>
    <row r="63" ht="22" customHeight="1" x14ac:dyDescent="0.25"/>
    <row r="64" ht="22" customHeight="1" x14ac:dyDescent="0.25"/>
    <row r="65" ht="22" customHeight="1" x14ac:dyDescent="0.25"/>
    <row r="66" ht="22" customHeight="1" x14ac:dyDescent="0.25"/>
    <row r="67" ht="22" customHeight="1" x14ac:dyDescent="0.25"/>
    <row r="68" ht="22" customHeight="1" x14ac:dyDescent="0.25"/>
    <row r="69" ht="22" customHeight="1" x14ac:dyDescent="0.25"/>
    <row r="70" ht="22" customHeight="1" x14ac:dyDescent="0.25"/>
    <row r="71" ht="22" customHeight="1" x14ac:dyDescent="0.25"/>
    <row r="72" ht="22" customHeight="1" x14ac:dyDescent="0.25"/>
    <row r="73" ht="22" customHeight="1" x14ac:dyDescent="0.25"/>
    <row r="74" ht="22" customHeight="1" x14ac:dyDescent="0.25"/>
    <row r="75" ht="22" customHeight="1" x14ac:dyDescent="0.25"/>
    <row r="76" ht="22" customHeight="1" x14ac:dyDescent="0.25"/>
    <row r="77" ht="22" customHeight="1" x14ac:dyDescent="0.25"/>
    <row r="78" ht="22" customHeight="1" x14ac:dyDescent="0.25"/>
    <row r="79" ht="22" customHeight="1" x14ac:dyDescent="0.25"/>
    <row r="80" ht="22" customHeight="1" x14ac:dyDescent="0.25"/>
    <row r="81" ht="22" customHeight="1" x14ac:dyDescent="0.25"/>
    <row r="82" ht="22" customHeight="1" x14ac:dyDescent="0.25"/>
    <row r="83" ht="22" customHeight="1" x14ac:dyDescent="0.25"/>
    <row r="84" ht="22" customHeight="1" x14ac:dyDescent="0.25"/>
  </sheetData>
  <mergeCells count="44">
    <mergeCell ref="H32:L32"/>
    <mergeCell ref="H34:L34"/>
    <mergeCell ref="H35:L35"/>
    <mergeCell ref="H36:L36"/>
    <mergeCell ref="H37:L37"/>
    <mergeCell ref="H38:L38"/>
    <mergeCell ref="A1:L1"/>
    <mergeCell ref="A13:L13"/>
    <mergeCell ref="H33:L33"/>
    <mergeCell ref="H14:L14"/>
    <mergeCell ref="H2:L2"/>
    <mergeCell ref="H31:L31"/>
    <mergeCell ref="H3:L3"/>
    <mergeCell ref="H30:L30"/>
    <mergeCell ref="H22:L22"/>
    <mergeCell ref="H27:L27"/>
    <mergeCell ref="H28:L28"/>
    <mergeCell ref="H29:L29"/>
    <mergeCell ref="H4:L4"/>
    <mergeCell ref="H5:L5"/>
    <mergeCell ref="H6:L6"/>
    <mergeCell ref="H8:L8"/>
    <mergeCell ref="H44:L44"/>
    <mergeCell ref="A39:L39"/>
    <mergeCell ref="H40:L40"/>
    <mergeCell ref="H41:L41"/>
    <mergeCell ref="H42:L42"/>
    <mergeCell ref="H43:L43"/>
    <mergeCell ref="H12:L12"/>
    <mergeCell ref="H11:L11"/>
    <mergeCell ref="H9:L9"/>
    <mergeCell ref="H7:L7"/>
    <mergeCell ref="H10:L10"/>
    <mergeCell ref="H26:L26"/>
    <mergeCell ref="H23:L23"/>
    <mergeCell ref="H24:L24"/>
    <mergeCell ref="H25:L25"/>
    <mergeCell ref="H15:L15"/>
    <mergeCell ref="H16:L16"/>
    <mergeCell ref="H17:L17"/>
    <mergeCell ref="H20:L20"/>
    <mergeCell ref="H21:L21"/>
    <mergeCell ref="H18:L18"/>
    <mergeCell ref="H19:L19"/>
  </mergeCells>
  <phoneticPr fontId="1" type="noConversion"/>
  <conditionalFormatting sqref="G1:G1048576">
    <cfRule type="containsText" dxfId="15" priority="28" operator="containsText" text="Delayed">
      <formula>NOT(ISERROR(SEARCH("Delayed",G1)))</formula>
    </cfRule>
  </conditionalFormatting>
  <conditionalFormatting sqref="G22:G38 G3:G12">
    <cfRule type="containsText" dxfId="14" priority="66" operator="containsText" text="In Progress">
      <formula>NOT(ISERROR(SEARCH("In Progress",G3)))</formula>
    </cfRule>
    <cfRule type="containsText" dxfId="13" priority="67" operator="containsText" text="Not Started">
      <formula>NOT(ISERROR(SEARCH("Not Started",G3)))</formula>
    </cfRule>
  </conditionalFormatting>
  <conditionalFormatting sqref="G15:G21">
    <cfRule type="containsText" dxfId="12" priority="1" operator="containsText" text="Complete">
      <formula>NOT(ISERROR(SEARCH("Complete",G15)))</formula>
    </cfRule>
    <cfRule type="containsText" dxfId="11" priority="2" operator="containsText" text="In Progress">
      <formula>NOT(ISERROR(SEARCH("In Progress",G15)))</formula>
    </cfRule>
    <cfRule type="containsText" dxfId="10" priority="3" operator="containsText" text="Not Started">
      <formula>NOT(ISERROR(SEARCH("Not Started",G15)))</formula>
    </cfRule>
  </conditionalFormatting>
  <conditionalFormatting sqref="G22:G38 G3:G12">
    <cfRule type="containsText" dxfId="9" priority="65" operator="containsText" text="Complete">
      <formula>NOT(ISERROR(SEARCH("Complete",G3)))</formula>
    </cfRule>
  </conditionalFormatting>
  <conditionalFormatting sqref="G22:G31 G33:G38">
    <cfRule type="containsText" dxfId="8" priority="38" operator="containsText" text="Complete">
      <formula>NOT(ISERROR(SEARCH("Complete",G22)))</formula>
    </cfRule>
    <cfRule type="containsText" dxfId="7" priority="39" operator="containsText" text="In Progress">
      <formula>NOT(ISERROR(SEARCH("In Progress",G22)))</formula>
    </cfRule>
    <cfRule type="containsText" dxfId="6" priority="40" operator="containsText" text="Not Started">
      <formula>NOT(ISERROR(SEARCH("Not Started",G22)))</formula>
    </cfRule>
  </conditionalFormatting>
  <conditionalFormatting sqref="G41:G44">
    <cfRule type="containsText" dxfId="5" priority="19" operator="containsText" text="Complete">
      <formula>NOT(ISERROR(SEARCH("Complete",G41)))</formula>
    </cfRule>
    <cfRule type="containsText" dxfId="4" priority="20" operator="containsText" text="In Progress">
      <formula>NOT(ISERROR(SEARCH("In Progress",G41)))</formula>
    </cfRule>
    <cfRule type="containsText" dxfId="3" priority="21" operator="containsText" text="Not Started">
      <formula>NOT(ISERROR(SEARCH("Not Started",G41)))</formula>
    </cfRule>
    <cfRule type="containsText" dxfId="2" priority="22" operator="containsText" text="Complete">
      <formula>NOT(ISERROR(SEARCH("Complete",G41)))</formula>
    </cfRule>
    <cfRule type="containsText" dxfId="1" priority="23" operator="containsText" text="In Progress">
      <formula>NOT(ISERROR(SEARCH("In Progress",G41)))</formula>
    </cfRule>
    <cfRule type="containsText" dxfId="0" priority="24" operator="containsText" text="Not Started">
      <formula>NOT(ISERROR(SEARCH("Not Started",G41)))</formula>
    </cfRule>
  </conditionalFormatting>
  <dataValidations count="1">
    <dataValidation type="list" allowBlank="1" showInputMessage="1" showErrorMessage="1" sqref="G41:G44 G15:G38 G3:G12" xr:uid="{A5637E44-9D6E-45B9-B3D7-CB3816DB321D}">
      <formula1>"Not Started, In Progress, Complete"</formula1>
    </dataValidation>
  </dataValidations>
  <printOptions horizontalCentered="1" verticalCentered="1"/>
  <pageMargins left="0.25" right="0.25" top="0.75" bottom="0.75" header="0.3" footer="0.3"/>
  <pageSetup scale="69" orientation="landscape" r:id="rId1"/>
  <rowBreaks count="1" manualBreakCount="1">
    <brk id="12" max="16383" man="1"/>
  </rowBreak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7C27D-2263-43DB-BFCB-6C09793F5026}">
  <dimension ref="A1:J39"/>
  <sheetViews>
    <sheetView workbookViewId="0">
      <selection activeCell="B2" sqref="B2"/>
    </sheetView>
  </sheetViews>
  <sheetFormatPr defaultRowHeight="12.5" x14ac:dyDescent="0.25"/>
  <cols>
    <col min="1" max="1" width="12.1796875" customWidth="1"/>
    <col min="2" max="2" width="15" customWidth="1"/>
    <col min="3" max="3" width="112.81640625" customWidth="1"/>
    <col min="4" max="4" width="83" customWidth="1"/>
    <col min="5" max="5" width="16.6328125" customWidth="1"/>
    <col min="6" max="6" width="14.90625" customWidth="1"/>
    <col min="7" max="7" width="16.54296875" customWidth="1"/>
    <col min="8" max="8" width="16.36328125" customWidth="1"/>
    <col min="9" max="9" width="14.1796875" customWidth="1"/>
  </cols>
  <sheetData>
    <row r="1" spans="1:10" s="15" customFormat="1" ht="13" x14ac:dyDescent="0.3">
      <c r="A1" s="15" t="s">
        <v>93</v>
      </c>
      <c r="B1" s="15" t="s">
        <v>94</v>
      </c>
      <c r="C1" s="15" t="s">
        <v>19</v>
      </c>
      <c r="D1" s="15" t="s">
        <v>20</v>
      </c>
      <c r="E1" s="15" t="s">
        <v>91</v>
      </c>
      <c r="F1" s="15" t="s">
        <v>92</v>
      </c>
      <c r="G1" s="15" t="s">
        <v>23</v>
      </c>
      <c r="H1" s="15" t="s">
        <v>24</v>
      </c>
      <c r="I1" s="15" t="s">
        <v>25</v>
      </c>
      <c r="J1" s="15" t="s">
        <v>26</v>
      </c>
    </row>
    <row r="2" spans="1:10" x14ac:dyDescent="0.25">
      <c r="A2" t="s">
        <v>95</v>
      </c>
      <c r="B2" s="14" t="s">
        <v>99</v>
      </c>
      <c r="C2" t="str">
        <f>'Project Plan'!A3</f>
        <v xml:space="preserve">Preconstruction Tasks: Design Scope, Estimates, Relocation of Utilities, Permits </v>
      </c>
      <c r="D2" t="str">
        <f>'Project Plan'!B3</f>
        <v>Contractors, OMRF Facilities, TIHO Leadership</v>
      </c>
      <c r="E2" s="12">
        <f>'Project Plan'!C3</f>
        <v>45999</v>
      </c>
      <c r="F2" s="12">
        <f>'Project Plan'!D3</f>
        <v>46252</v>
      </c>
      <c r="G2" s="12">
        <f>'Project Plan'!E3</f>
        <v>45999</v>
      </c>
      <c r="H2" s="12">
        <f>'Project Plan'!F3</f>
        <v>46252</v>
      </c>
      <c r="I2" t="str">
        <f>'Project Plan'!G3</f>
        <v>Complete</v>
      </c>
      <c r="J2" t="str">
        <f>'Project Plan'!H3</f>
        <v>Site evaluation, surveying, civil engineering assessments, design development, supplier/contractor selection, and permitting for the Advanced Human Imaging Center already underway and will be completed by 12/31/2025.</v>
      </c>
    </row>
    <row r="3" spans="1:10" x14ac:dyDescent="0.25">
      <c r="A3" t="s">
        <v>95</v>
      </c>
      <c r="B3" s="14" t="s">
        <v>99</v>
      </c>
      <c r="C3" t="str">
        <f>'Project Plan'!A4</f>
        <v>TIHO/AHIF Demo and Site Utility Construction</v>
      </c>
      <c r="D3" t="str">
        <f>'Project Plan'!B4</f>
        <v>Contractors</v>
      </c>
      <c r="E3" s="12">
        <f>'Project Plan'!C4</f>
        <v>46174</v>
      </c>
      <c r="F3" s="12">
        <f>'Project Plan'!D4</f>
        <v>46234</v>
      </c>
      <c r="G3" s="12">
        <f>'Project Plan'!E4</f>
        <v>46237</v>
      </c>
      <c r="H3" s="12">
        <f>'Project Plan'!F4</f>
        <v>46295</v>
      </c>
      <c r="I3" t="str">
        <f>'Project Plan'!G4</f>
        <v>Complete</v>
      </c>
      <c r="J3" t="str">
        <f>'Project Plan'!H4</f>
        <v>Supported by TSET funding for construction</v>
      </c>
    </row>
    <row r="4" spans="1:10" x14ac:dyDescent="0.25">
      <c r="A4" t="s">
        <v>95</v>
      </c>
      <c r="B4" s="14" t="s">
        <v>99</v>
      </c>
      <c r="C4" t="str">
        <f>'Project Plan'!A5</f>
        <v xml:space="preserve">TIHO/AHIF Earthwork and Foundation </v>
      </c>
      <c r="D4" t="str">
        <f>'Project Plan'!B5</f>
        <v>Contractors</v>
      </c>
      <c r="E4" s="12">
        <f>'Project Plan'!C5</f>
        <v>46282</v>
      </c>
      <c r="F4" s="12">
        <f>'Project Plan'!D5</f>
        <v>46330</v>
      </c>
      <c r="G4" s="12">
        <f>'Project Plan'!E5</f>
        <v>46282</v>
      </c>
      <c r="H4" s="12" t="str">
        <f>'Project Plan'!F5</f>
        <v>n/a</v>
      </c>
      <c r="I4" t="str">
        <f>'Project Plan'!G5</f>
        <v>In Progress</v>
      </c>
      <c r="J4" t="str">
        <f>'Project Plan'!H5</f>
        <v>Supported by TSET funding for construction</v>
      </c>
    </row>
    <row r="5" spans="1:10" x14ac:dyDescent="0.25">
      <c r="A5" t="s">
        <v>95</v>
      </c>
      <c r="B5" s="14" t="s">
        <v>99</v>
      </c>
      <c r="C5" t="str">
        <f>'Project Plan'!A6</f>
        <v>TIHO/AHIF Steel Structure Erection &amp; Elevated Slabs</v>
      </c>
      <c r="D5" t="str">
        <f>'Project Plan'!B6</f>
        <v>Contractors</v>
      </c>
      <c r="E5" s="12">
        <f>'Project Plan'!C6</f>
        <v>46331</v>
      </c>
      <c r="F5" s="12">
        <f>'Project Plan'!D6</f>
        <v>46386</v>
      </c>
      <c r="G5" s="12" t="str">
        <f>'Project Plan'!E6</f>
        <v>n/a</v>
      </c>
      <c r="H5" s="12" t="str">
        <f>'Project Plan'!F6</f>
        <v>n/a</v>
      </c>
      <c r="I5" t="str">
        <f>'Project Plan'!G6</f>
        <v>Not Started</v>
      </c>
      <c r="J5" t="str">
        <f>'Project Plan'!H6</f>
        <v>Supported by TSET funding for construction</v>
      </c>
    </row>
    <row r="6" spans="1:10" x14ac:dyDescent="0.25">
      <c r="A6" t="s">
        <v>95</v>
      </c>
      <c r="B6" s="14" t="s">
        <v>100</v>
      </c>
      <c r="C6" t="str">
        <f>'Project Plan'!A7</f>
        <v>TIHO - assemble internal and external advisory committees</v>
      </c>
      <c r="D6" t="str">
        <f>'Project Plan'!B7</f>
        <v>TIHO Leadership Faculty</v>
      </c>
      <c r="E6" s="12">
        <f>'Project Plan'!C7</f>
        <v>46023</v>
      </c>
      <c r="F6" s="12">
        <f>'Project Plan'!D7</f>
        <v>46112</v>
      </c>
      <c r="G6" s="12">
        <f>'Project Plan'!E7</f>
        <v>46023</v>
      </c>
      <c r="H6" s="12">
        <f>'Project Plan'!F7</f>
        <v>46203</v>
      </c>
      <c r="I6" t="str">
        <f>'Project Plan'!G7</f>
        <v>Complete</v>
      </c>
      <c r="J6">
        <f>'Project Plan'!H7</f>
        <v>0</v>
      </c>
    </row>
    <row r="7" spans="1:10" x14ac:dyDescent="0.25">
      <c r="A7" t="s">
        <v>95</v>
      </c>
      <c r="B7" s="14" t="s">
        <v>100</v>
      </c>
      <c r="C7" t="str">
        <f>'Project Plan'!A8</f>
        <v>TIHO - OMRF staff duties assignments</v>
      </c>
      <c r="D7" t="str">
        <f>'Project Plan'!B8</f>
        <v>TIHO Leadership Faculty</v>
      </c>
      <c r="E7" s="12">
        <f>'Project Plan'!C8</f>
        <v>46113</v>
      </c>
      <c r="F7" s="12">
        <f>'Project Plan'!D8</f>
        <v>46203</v>
      </c>
      <c r="G7" s="12">
        <f>'Project Plan'!E8</f>
        <v>46113</v>
      </c>
      <c r="H7" s="12">
        <f>'Project Plan'!F8</f>
        <v>46203</v>
      </c>
      <c r="I7" t="str">
        <f>'Project Plan'!G8</f>
        <v>Complete</v>
      </c>
      <c r="J7" t="str">
        <f>'Project Plan'!H8</f>
        <v xml:space="preserve">Supported by TSET funding for staffing including TIHO project manager, TSET Biorepository Hub Manager/Technician, CRI Hub Database Manager, CRI Hub Data Librarian/Data Analyst, and HPH: Project Manager. Funds will also be used to purchase an annual subscription for the NIH Toolbox that will be used to administer various standardized cognitive tests as well as computing storage and infrastructure. </v>
      </c>
    </row>
    <row r="8" spans="1:10" x14ac:dyDescent="0.25">
      <c r="A8" t="s">
        <v>95</v>
      </c>
      <c r="B8" s="14" t="s">
        <v>100</v>
      </c>
      <c r="C8" t="str">
        <f>'Project Plan'!A9</f>
        <v>Telehealth and Distributed Trial Hub - search for and secure coordinator</v>
      </c>
      <c r="D8" t="str">
        <f>'Project Plan'!B9</f>
        <v>TIHO Leadership Faculty</v>
      </c>
      <c r="E8" s="12">
        <f>'Project Plan'!C9</f>
        <v>46174</v>
      </c>
      <c r="F8" s="12">
        <f>'Project Plan'!D9</f>
        <v>46295</v>
      </c>
      <c r="G8" s="12">
        <f>'Project Plan'!E9</f>
        <v>46174</v>
      </c>
      <c r="H8" s="12">
        <f>'Project Plan'!F9</f>
        <v>46295</v>
      </c>
      <c r="I8" t="str">
        <f>'Project Plan'!G9</f>
        <v>Complete</v>
      </c>
      <c r="J8" t="str">
        <f>'Project Plan'!H9</f>
        <v>TSET funding support for TDT Coordinator</v>
      </c>
    </row>
    <row r="9" spans="1:10" x14ac:dyDescent="0.25">
      <c r="A9" t="s">
        <v>95</v>
      </c>
      <c r="B9" s="14" t="s">
        <v>100</v>
      </c>
      <c r="C9" t="str">
        <f>'Project Plan'!A10</f>
        <v>Telehealth and Distributed Trial Hub - meet with consultants to develop and implement tools for distant monitoring</v>
      </c>
      <c r="D9" t="str">
        <f>'Project Plan'!B10</f>
        <v>TSET Hubs staff</v>
      </c>
      <c r="E9" s="12">
        <f>'Project Plan'!C10</f>
        <v>46296</v>
      </c>
      <c r="F9" s="12">
        <f>'Project Plan'!D10</f>
        <v>46387</v>
      </c>
      <c r="G9" s="12">
        <f>'Project Plan'!E10</f>
        <v>46296</v>
      </c>
      <c r="H9" s="12" t="str">
        <f>'Project Plan'!F10</f>
        <v>n/a</v>
      </c>
      <c r="I9" t="str">
        <f>'Project Plan'!G10</f>
        <v>In Progress</v>
      </c>
      <c r="J9" t="str">
        <f>'Project Plan'!H10</f>
        <v>Supported by TSET funding Telehealth consultant costs to develop and implement tools for distant monitoring, such as thermograms, cardiac monitoring, etc. The OCTSI/OSCTR has built an Evaluation Core which provides external Evaluation for OCTSI/OSCTR Programs and has also done multiple evaluation programs for tribal facilities, the Tribal Epidemiology Unit, and other organizations. Dr. Janis Campbell is an Associate Professor at the adjacent OUHSC and she and her unit will be hired to perform evaluation services for the TIHO. The approximate $6.4M requested will finish out the 2nd and 3rd floors of the Advanced Human Imaging Center for which over $7.45M is already raised as matching funds. These renovations include all architectural and design services, site prep, contractor activitities, plumbing, electrical, technology, furniture, fixtures and equipment. Detailed bids and cost estimates are available as needed.</v>
      </c>
    </row>
    <row r="10" spans="1:10" x14ac:dyDescent="0.25">
      <c r="A10" t="s">
        <v>95</v>
      </c>
      <c r="B10" s="14" t="s">
        <v>100</v>
      </c>
      <c r="C10" t="str">
        <f>'Project Plan'!A11</f>
        <v>Biorepository Hub - establish TIHO biorepository, transition samples into the TIHO biorepository, develop sample sharing processes/policies</v>
      </c>
      <c r="D10" t="str">
        <f>'Project Plan'!B11</f>
        <v>TSET Biorepository staff</v>
      </c>
      <c r="E10" s="12">
        <f>'Project Plan'!C11</f>
        <v>46023</v>
      </c>
      <c r="F10" s="12">
        <f>'Project Plan'!D11</f>
        <v>46387</v>
      </c>
      <c r="G10" s="12">
        <f>'Project Plan'!E11</f>
        <v>46023</v>
      </c>
      <c r="H10" s="12" t="str">
        <f>'Project Plan'!F11</f>
        <v>n/a</v>
      </c>
      <c r="I10" t="str">
        <f>'Project Plan'!G11</f>
        <v>In Progress</v>
      </c>
      <c r="J10">
        <f>'Project Plan'!H11</f>
        <v>0</v>
      </c>
    </row>
    <row r="11" spans="1:10" x14ac:dyDescent="0.25">
      <c r="A11" t="s">
        <v>95</v>
      </c>
      <c r="B11" s="14" t="s">
        <v>100</v>
      </c>
      <c r="C11" t="str">
        <f>'Project Plan'!A12</f>
        <v>Human Performance Hub - develop educational content</v>
      </c>
      <c r="D11" t="str">
        <f>'Project Plan'!B12</f>
        <v>TSET Human Performance Hub staff</v>
      </c>
      <c r="E11" s="12">
        <f>'Project Plan'!C12</f>
        <v>46204</v>
      </c>
      <c r="F11" s="12">
        <f>'Project Plan'!D12</f>
        <v>46387</v>
      </c>
      <c r="G11" s="12">
        <f>'Project Plan'!E12</f>
        <v>46296</v>
      </c>
      <c r="H11" s="12" t="str">
        <f>'Project Plan'!F12</f>
        <v>n/a</v>
      </c>
      <c r="I11" t="str">
        <f>'Project Plan'!G12</f>
        <v>In Progress</v>
      </c>
      <c r="J11">
        <f>'Project Plan'!H12</f>
        <v>0</v>
      </c>
    </row>
    <row r="12" spans="1:10" x14ac:dyDescent="0.25">
      <c r="A12" t="s">
        <v>96</v>
      </c>
      <c r="B12" s="14" t="s">
        <v>99</v>
      </c>
      <c r="C12" t="str">
        <f>'Project Plan'!A15</f>
        <v>TIHO/AHIF Exterior Framing, Sheathing, and Waterproofing</v>
      </c>
      <c r="D12" t="str">
        <f>'Project Plan'!B15</f>
        <v>Contractors</v>
      </c>
      <c r="E12" s="12">
        <f>'Project Plan'!C15</f>
        <v>46388</v>
      </c>
      <c r="F12" s="12">
        <f>'Project Plan'!D15</f>
        <v>46421</v>
      </c>
      <c r="G12" s="12" t="str">
        <f>'Project Plan'!E15</f>
        <v>n/a</v>
      </c>
      <c r="H12" s="12" t="str">
        <f>'Project Plan'!F15</f>
        <v>n/a</v>
      </c>
      <c r="I12" t="str">
        <f>'Project Plan'!G15</f>
        <v>Not Started</v>
      </c>
      <c r="J12" t="str">
        <f>'Project Plan'!H15</f>
        <v>Supported by TSET funding for construction</v>
      </c>
    </row>
    <row r="13" spans="1:10" x14ac:dyDescent="0.25">
      <c r="A13" t="s">
        <v>96</v>
      </c>
      <c r="B13" s="14" t="s">
        <v>99</v>
      </c>
      <c r="C13" t="str">
        <f>'Project Plan'!A16</f>
        <v xml:space="preserve">TIHO/AHIF Roofing </v>
      </c>
      <c r="D13" t="str">
        <f>'Project Plan'!B16</f>
        <v>Contractors</v>
      </c>
      <c r="E13" s="12">
        <f>'Project Plan'!C16</f>
        <v>46415</v>
      </c>
      <c r="F13" s="12">
        <f>'Project Plan'!D16</f>
        <v>46428</v>
      </c>
      <c r="G13" s="12" t="str">
        <f>'Project Plan'!E16</f>
        <v>n/a</v>
      </c>
      <c r="H13" s="12" t="str">
        <f>'Project Plan'!F16</f>
        <v>n/a</v>
      </c>
      <c r="I13" t="str">
        <f>'Project Plan'!G16</f>
        <v>Not Started</v>
      </c>
      <c r="J13" t="str">
        <f>'Project Plan'!H16</f>
        <v>Supported by TSET funding for construction</v>
      </c>
    </row>
    <row r="14" spans="1:10" x14ac:dyDescent="0.25">
      <c r="A14" t="s">
        <v>96</v>
      </c>
      <c r="B14" s="14" t="s">
        <v>99</v>
      </c>
      <c r="C14" t="str">
        <f>'Project Plan'!A17</f>
        <v>TIHO/AHIF MEP Rough</v>
      </c>
      <c r="D14" t="str">
        <f>'Project Plan'!B17</f>
        <v>Contractors</v>
      </c>
      <c r="E14" s="12">
        <f>'Project Plan'!C17</f>
        <v>46415</v>
      </c>
      <c r="F14" s="12">
        <f>'Project Plan'!D17</f>
        <v>46484</v>
      </c>
      <c r="G14" s="12" t="str">
        <f>'Project Plan'!E17</f>
        <v>n/a</v>
      </c>
      <c r="H14" s="12" t="str">
        <f>'Project Plan'!F17</f>
        <v>n/a</v>
      </c>
      <c r="I14" t="str">
        <f>'Project Plan'!G17</f>
        <v>Not Started</v>
      </c>
      <c r="J14" t="str">
        <f>'Project Plan'!H17</f>
        <v>Supported by TSET funding for construction</v>
      </c>
    </row>
    <row r="15" spans="1:10" x14ac:dyDescent="0.25">
      <c r="A15" t="s">
        <v>96</v>
      </c>
      <c r="B15" s="14" t="s">
        <v>99</v>
      </c>
      <c r="C15" t="str">
        <f>'Project Plan'!A18</f>
        <v>TIHO/AHIF Interior Framing - Majority of Building Complete</v>
      </c>
      <c r="D15" t="str">
        <f>'Project Plan'!B18</f>
        <v>Contractors</v>
      </c>
      <c r="E15" s="12">
        <f>'Project Plan'!C18</f>
        <v>46436</v>
      </c>
      <c r="F15" s="12">
        <f>'Project Plan'!D18</f>
        <v>46477</v>
      </c>
      <c r="G15" s="12" t="str">
        <f>'Project Plan'!E18</f>
        <v>n/a</v>
      </c>
      <c r="H15" s="12" t="str">
        <f>'Project Plan'!F18</f>
        <v>n/a</v>
      </c>
      <c r="I15" t="str">
        <f>'Project Plan'!G18</f>
        <v>Not Started</v>
      </c>
      <c r="J15" t="str">
        <f>'Project Plan'!H18</f>
        <v>Supported by TSET funding for construction</v>
      </c>
    </row>
    <row r="16" spans="1:10" x14ac:dyDescent="0.25">
      <c r="A16" t="s">
        <v>96</v>
      </c>
      <c r="B16" s="14" t="s">
        <v>99</v>
      </c>
      <c r="C16" t="str">
        <f>'Project Plan'!A19</f>
        <v>TIHO/AHIF In-wall Rough-In</v>
      </c>
      <c r="D16" t="str">
        <f>'Project Plan'!B19</f>
        <v>Contractors</v>
      </c>
      <c r="E16" s="12">
        <f>'Project Plan'!C19</f>
        <v>46464</v>
      </c>
      <c r="F16" s="12">
        <f>'Project Plan'!D19</f>
        <v>46451</v>
      </c>
      <c r="G16" s="12" t="str">
        <f>'Project Plan'!E19</f>
        <v>n/a</v>
      </c>
      <c r="H16" s="12" t="str">
        <f>'Project Plan'!F19</f>
        <v>n/a</v>
      </c>
      <c r="I16" t="str">
        <f>'Project Plan'!G19</f>
        <v>Not Started</v>
      </c>
      <c r="J16" t="str">
        <f>'Project Plan'!H19</f>
        <v>Supported by TSET funding for construction</v>
      </c>
    </row>
    <row r="17" spans="1:10" x14ac:dyDescent="0.25">
      <c r="A17" t="s">
        <v>96</v>
      </c>
      <c r="B17" s="14" t="s">
        <v>99</v>
      </c>
      <c r="C17" t="str">
        <f>'Project Plan'!A20</f>
        <v xml:space="preserve">TIHO/AHIF Exterior Veneers </v>
      </c>
      <c r="D17" t="str">
        <f>'Project Plan'!B20</f>
        <v>Contractors</v>
      </c>
      <c r="E17" s="12">
        <f>'Project Plan'!C20</f>
        <v>46422</v>
      </c>
      <c r="F17" s="12">
        <f>'Project Plan'!D20</f>
        <v>46505</v>
      </c>
      <c r="G17" s="12" t="str">
        <f>'Project Plan'!E20</f>
        <v>n/a</v>
      </c>
      <c r="H17" s="12" t="str">
        <f>'Project Plan'!F20</f>
        <v>n/a</v>
      </c>
      <c r="I17" t="str">
        <f>'Project Plan'!G20</f>
        <v>Not Started</v>
      </c>
      <c r="J17" t="str">
        <f>'Project Plan'!H20</f>
        <v>Supported by TSET funding for construction</v>
      </c>
    </row>
    <row r="18" spans="1:10" x14ac:dyDescent="0.25">
      <c r="A18" t="s">
        <v>96</v>
      </c>
      <c r="B18" s="14" t="s">
        <v>99</v>
      </c>
      <c r="C18" t="str">
        <f>'Project Plan'!A21</f>
        <v xml:space="preserve">TIHO/AHIF Curtainwall and Windows </v>
      </c>
      <c r="D18" t="str">
        <f>'Project Plan'!B21</f>
        <v>Contractors</v>
      </c>
      <c r="E18" s="12">
        <f>'Project Plan'!C21</f>
        <v>46422</v>
      </c>
      <c r="F18" s="12">
        <f>'Project Plan'!D21</f>
        <v>46463</v>
      </c>
      <c r="G18" s="12" t="str">
        <f>'Project Plan'!E21</f>
        <v>n/a</v>
      </c>
      <c r="H18" s="12" t="str">
        <f>'Project Plan'!F21</f>
        <v>n/a</v>
      </c>
      <c r="I18" t="str">
        <f>'Project Plan'!G21</f>
        <v>Not Started</v>
      </c>
      <c r="J18" t="str">
        <f>'Project Plan'!H21</f>
        <v>Supported by TSET funding for construction</v>
      </c>
    </row>
    <row r="19" spans="1:10" x14ac:dyDescent="0.25">
      <c r="A19" t="s">
        <v>96</v>
      </c>
      <c r="B19" s="14" t="s">
        <v>99</v>
      </c>
      <c r="C19" t="str">
        <f>'Project Plan'!A22</f>
        <v>TIHO/AHIF Sheetrock, Tape, Bed, Paint</v>
      </c>
      <c r="D19" t="str">
        <f>'Project Plan'!B22</f>
        <v>Contractors</v>
      </c>
      <c r="E19" s="12">
        <f>'Project Plan'!C22</f>
        <v>46506</v>
      </c>
      <c r="F19" s="12">
        <f>'Project Plan'!D22</f>
        <v>46547</v>
      </c>
      <c r="G19" s="12" t="str">
        <f>'Project Plan'!E22</f>
        <v>n/a</v>
      </c>
      <c r="H19" s="12" t="str">
        <f>'Project Plan'!F22</f>
        <v>n/a</v>
      </c>
      <c r="I19" t="str">
        <f>'Project Plan'!G22</f>
        <v>Not Started</v>
      </c>
      <c r="J19" t="str">
        <f>'Project Plan'!H22</f>
        <v xml:space="preserve">Supported by TSET funding for finishes </v>
      </c>
    </row>
    <row r="20" spans="1:10" x14ac:dyDescent="0.25">
      <c r="A20" t="s">
        <v>96</v>
      </c>
      <c r="B20" s="14" t="s">
        <v>99</v>
      </c>
      <c r="C20" t="str">
        <f>'Project Plan'!A23</f>
        <v xml:space="preserve">TIHO/AHIF Ceilings </v>
      </c>
      <c r="D20" t="str">
        <f>'Project Plan'!B23</f>
        <v xml:space="preserve">Contractors </v>
      </c>
      <c r="E20" s="12">
        <f>'Project Plan'!C23</f>
        <v>46548</v>
      </c>
      <c r="F20" s="12">
        <f>'Project Plan'!D23</f>
        <v>46568</v>
      </c>
      <c r="G20" s="12" t="str">
        <f>'Project Plan'!E23</f>
        <v>n/a</v>
      </c>
      <c r="H20" s="12" t="str">
        <f>'Project Plan'!F23</f>
        <v>n/a</v>
      </c>
      <c r="I20" t="str">
        <f>'Project Plan'!G23</f>
        <v>Not Started</v>
      </c>
      <c r="J20" t="str">
        <f>'Project Plan'!H23</f>
        <v xml:space="preserve">Supported by TSET funding for finishes </v>
      </c>
    </row>
    <row r="21" spans="1:10" x14ac:dyDescent="0.25">
      <c r="A21" t="s">
        <v>96</v>
      </c>
      <c r="B21" s="14" t="s">
        <v>99</v>
      </c>
      <c r="C21" t="str">
        <f>'Project Plan'!A24</f>
        <v>TIHO/AHIF Millwork and Flooring</v>
      </c>
      <c r="D21" t="str">
        <f>'Project Plan'!B24</f>
        <v xml:space="preserve">Contractors </v>
      </c>
      <c r="E21" s="12">
        <f>'Project Plan'!C24</f>
        <v>46569</v>
      </c>
      <c r="F21" s="12">
        <f>'Project Plan'!D24</f>
        <v>46589</v>
      </c>
      <c r="G21" s="12" t="str">
        <f>'Project Plan'!E24</f>
        <v>n/a</v>
      </c>
      <c r="H21" s="12" t="str">
        <f>'Project Plan'!F24</f>
        <v>n/a</v>
      </c>
      <c r="I21" t="str">
        <f>'Project Plan'!G24</f>
        <v>Not Started</v>
      </c>
      <c r="J21" t="str">
        <f>'Project Plan'!H24</f>
        <v xml:space="preserve">Supported by TSET funding for finishes </v>
      </c>
    </row>
    <row r="22" spans="1:10" x14ac:dyDescent="0.25">
      <c r="A22" t="s">
        <v>96</v>
      </c>
      <c r="B22" s="14" t="s">
        <v>99</v>
      </c>
      <c r="C22" t="str">
        <f>'Project Plan'!A25</f>
        <v xml:space="preserve">TIHO/AHIF Final Paint and Punchlist </v>
      </c>
      <c r="D22" t="str">
        <f>'Project Plan'!B25</f>
        <v xml:space="preserve">Contractors </v>
      </c>
      <c r="E22" s="12">
        <f>'Project Plan'!C25</f>
        <v>46590</v>
      </c>
      <c r="F22" s="12">
        <f>'Project Plan'!D25</f>
        <v>46610</v>
      </c>
      <c r="G22" s="12" t="str">
        <f>'Project Plan'!E25</f>
        <v>n/a</v>
      </c>
      <c r="H22" s="12" t="str">
        <f>'Project Plan'!F25</f>
        <v>n/a</v>
      </c>
      <c r="I22" t="str">
        <f>'Project Plan'!G25</f>
        <v>Not Started</v>
      </c>
      <c r="J22" t="str">
        <f>'Project Plan'!H25</f>
        <v xml:space="preserve">Supported by TSET funding for finishes </v>
      </c>
    </row>
    <row r="23" spans="1:10" x14ac:dyDescent="0.25">
      <c r="A23" t="s">
        <v>96</v>
      </c>
      <c r="B23" s="14" t="s">
        <v>99</v>
      </c>
      <c r="C23" t="str">
        <f>'Project Plan'!A26</f>
        <v xml:space="preserve">TIHO/AHIF Sitework and Canopies </v>
      </c>
      <c r="D23" t="str">
        <f>'Project Plan'!B26</f>
        <v xml:space="preserve">Contractors </v>
      </c>
      <c r="E23" s="12">
        <f>'Project Plan'!C26</f>
        <v>46506</v>
      </c>
      <c r="F23" s="12">
        <f>'Project Plan'!D26</f>
        <v>46547</v>
      </c>
      <c r="G23" s="12" t="str">
        <f>'Project Plan'!E26</f>
        <v>n/a</v>
      </c>
      <c r="H23" s="12" t="str">
        <f>'Project Plan'!F26</f>
        <v>n/a</v>
      </c>
      <c r="I23" t="str">
        <f>'Project Plan'!G26</f>
        <v>Not Started</v>
      </c>
      <c r="J23" t="str">
        <f>'Project Plan'!H26</f>
        <v xml:space="preserve">Supported by TSET funding for finishes </v>
      </c>
    </row>
    <row r="24" spans="1:10" x14ac:dyDescent="0.25">
      <c r="A24" t="s">
        <v>96</v>
      </c>
      <c r="B24" s="14" t="s">
        <v>99</v>
      </c>
      <c r="C24" t="str">
        <f>'Project Plan'!A27</f>
        <v>TIHO/AHIF - Install equipment, signage and FFE (Furniture, Fixtures, and Equipment)</v>
      </c>
      <c r="D24" t="str">
        <f>'Project Plan'!B27</f>
        <v>Contractors</v>
      </c>
      <c r="E24" s="12">
        <f>'Project Plan'!C27</f>
        <v>46458</v>
      </c>
      <c r="F24" s="12">
        <f>'Project Plan'!D27</f>
        <v>46506</v>
      </c>
      <c r="G24" s="12" t="str">
        <f>'Project Plan'!E27</f>
        <v>n/a</v>
      </c>
      <c r="H24" s="12" t="str">
        <f>'Project Plan'!F27</f>
        <v>n/a</v>
      </c>
      <c r="I24" t="str">
        <f>'Project Plan'!G27</f>
        <v>Not Started</v>
      </c>
      <c r="J24" t="str">
        <f>'Project Plan'!H27</f>
        <v>TSET funds will be used to support the installation of equipment to the 2nd and 3rd floors, including Computing connection it I2, computing cabelling, high performance computing nodes and storage for CRI/TDT, ECG and Benchtop centrifuge (Eppendorf Centrifuge 5810R) for HPH, and clinical Exam Room Equipment (exam table, patient chairs, physician stool, EMR work station) for the CRI. Funding will also be used to install TSET and Tobacco-Free signage.</v>
      </c>
    </row>
    <row r="25" spans="1:10" x14ac:dyDescent="0.25">
      <c r="A25" t="s">
        <v>96</v>
      </c>
      <c r="B25" s="14" t="s">
        <v>99</v>
      </c>
      <c r="C25" t="str">
        <f>'Project Plan'!A28</f>
        <v>TIHO/AHIF - Commissioning and Punch</v>
      </c>
      <c r="D25" t="str">
        <f>'Project Plan'!B28</f>
        <v>Contractors</v>
      </c>
      <c r="E25" s="12">
        <f>'Project Plan'!C28</f>
        <v>46611</v>
      </c>
      <c r="F25" s="12">
        <f>'Project Plan'!D28</f>
        <v>46631</v>
      </c>
      <c r="G25" s="12" t="str">
        <f>'Project Plan'!E28</f>
        <v>n/a</v>
      </c>
      <c r="H25" s="12" t="str">
        <f>'Project Plan'!F28</f>
        <v>n/a</v>
      </c>
      <c r="I25" t="str">
        <f>'Project Plan'!G28</f>
        <v>Not Started</v>
      </c>
      <c r="J25" t="str">
        <f>'Project Plan'!H28</f>
        <v>Supported by TSET funding</v>
      </c>
    </row>
    <row r="26" spans="1:10" x14ac:dyDescent="0.25">
      <c r="A26" t="s">
        <v>96</v>
      </c>
      <c r="B26" s="14" t="s">
        <v>99</v>
      </c>
      <c r="C26" t="str">
        <f>'Project Plan'!A29</f>
        <v>TIHO/AHIF - Final Inspections</v>
      </c>
      <c r="D26" t="str">
        <f>'Project Plan'!B29</f>
        <v>Contractors</v>
      </c>
      <c r="E26" s="12">
        <f>'Project Plan'!C29</f>
        <v>46632</v>
      </c>
      <c r="F26" s="12">
        <f>'Project Plan'!D29</f>
        <v>46652</v>
      </c>
      <c r="G26" s="12" t="str">
        <f>'Project Plan'!E29</f>
        <v>n/a</v>
      </c>
      <c r="H26" s="12" t="str">
        <f>'Project Plan'!F29</f>
        <v>n/a</v>
      </c>
      <c r="I26" t="str">
        <f>'Project Plan'!G29</f>
        <v>Not Started</v>
      </c>
      <c r="J26" t="str">
        <f>'Project Plan'!H29</f>
        <v>Supported by TSET funding for final inspections</v>
      </c>
    </row>
    <row r="27" spans="1:10" x14ac:dyDescent="0.25">
      <c r="A27" t="s">
        <v>96</v>
      </c>
      <c r="B27" s="14" t="s">
        <v>99</v>
      </c>
      <c r="C27" t="str">
        <f>'Project Plan'!A30</f>
        <v>TIHO/AHIF - Certificate of Occupancy</v>
      </c>
      <c r="D27" t="str">
        <f>'Project Plan'!B30</f>
        <v>TIHO Leadership Faculty</v>
      </c>
      <c r="E27" s="12">
        <f>'Project Plan'!C30</f>
        <v>46632</v>
      </c>
      <c r="F27" s="12">
        <f>'Project Plan'!D30</f>
        <v>46652</v>
      </c>
      <c r="G27" s="12" t="str">
        <f>'Project Plan'!E30</f>
        <v>n/a</v>
      </c>
      <c r="H27" s="12" t="str">
        <f>'Project Plan'!F30</f>
        <v>n/a</v>
      </c>
      <c r="I27" t="str">
        <f>'Project Plan'!G30</f>
        <v>Not Started</v>
      </c>
      <c r="J27" t="str">
        <f>'Project Plan'!H30</f>
        <v>Supported by TSET funding for certificate of occupancy</v>
      </c>
    </row>
    <row r="28" spans="1:10" x14ac:dyDescent="0.25">
      <c r="A28" t="s">
        <v>96</v>
      </c>
      <c r="B28" s="14" t="s">
        <v>99</v>
      </c>
      <c r="C28" t="str">
        <f>'Project Plan'!A31</f>
        <v>TIHO/AHIF - Grand Opening Ribbon Cutting Ceremony</v>
      </c>
      <c r="D28" t="str">
        <f>'Project Plan'!B31</f>
        <v>TIHO Leadership Faculty, TSET Hubs Staff, TSET Leadership, OMRF Leadership, Community Leaders</v>
      </c>
      <c r="E28" s="12">
        <f>'Project Plan'!C31</f>
        <v>46652</v>
      </c>
      <c r="F28" s="12">
        <f>'Project Plan'!D31</f>
        <v>46652</v>
      </c>
      <c r="G28" s="12" t="str">
        <f>'Project Plan'!E31</f>
        <v>n/a</v>
      </c>
      <c r="H28" s="12" t="str">
        <f>'Project Plan'!F31</f>
        <v>n/a</v>
      </c>
      <c r="I28" t="str">
        <f>'Project Plan'!G31</f>
        <v>Not Started</v>
      </c>
      <c r="J28" t="str">
        <f>'Project Plan'!H31</f>
        <v>Partial TSET funding support for ribbon cutting ceremony</v>
      </c>
    </row>
    <row r="29" spans="1:10" x14ac:dyDescent="0.25">
      <c r="A29" t="s">
        <v>96</v>
      </c>
      <c r="B29" s="14" t="s">
        <v>99</v>
      </c>
      <c r="C29" t="str">
        <f>'Project Plan'!A32</f>
        <v xml:space="preserve">TIHO Human Performance Hub - renovations </v>
      </c>
      <c r="D29" t="str">
        <f>'Project Plan'!B32</f>
        <v>Contractors</v>
      </c>
      <c r="E29" s="12">
        <f>'Project Plan'!C32</f>
        <v>46600</v>
      </c>
      <c r="F29" s="12">
        <f>'Project Plan'!D32</f>
        <v>46873</v>
      </c>
      <c r="G29" s="12" t="str">
        <f>'Project Plan'!E32</f>
        <v>n/a</v>
      </c>
      <c r="H29" s="12" t="str">
        <f>'Project Plan'!F32</f>
        <v>n/a</v>
      </c>
      <c r="I29" t="str">
        <f>'Project Plan'!G32</f>
        <v>Not Started</v>
      </c>
      <c r="J29" t="str">
        <f>'Project Plan'!H32</f>
        <v>Supported by TSET funding for renovation of Ground Floor in the OMRF Tower</v>
      </c>
    </row>
    <row r="30" spans="1:10" x14ac:dyDescent="0.25">
      <c r="A30" t="s">
        <v>96</v>
      </c>
      <c r="B30" s="14" t="s">
        <v>100</v>
      </c>
      <c r="C30" t="str">
        <f>'Project Plan'!A33</f>
        <v>Clinical Research and Informatics Hub - search for and secure medical director</v>
      </c>
      <c r="D30" t="str">
        <f>'Project Plan'!B33</f>
        <v>TIHO Leadership Faculty</v>
      </c>
      <c r="E30" s="12">
        <f>'Project Plan'!C33</f>
        <v>46388</v>
      </c>
      <c r="F30" s="12">
        <f>'Project Plan'!D33</f>
        <v>46477</v>
      </c>
      <c r="G30" s="12" t="str">
        <f>'Project Plan'!E33</f>
        <v>n/a</v>
      </c>
      <c r="H30" s="12" t="str">
        <f>'Project Plan'!F33</f>
        <v>n/a</v>
      </c>
      <c r="I30" t="str">
        <f>'Project Plan'!G33</f>
        <v>Not Started</v>
      </c>
      <c r="J30" t="str">
        <f>'Project Plan'!H33</f>
        <v>Partial TSET funding support for CRI Director</v>
      </c>
    </row>
    <row r="31" spans="1:10" x14ac:dyDescent="0.25">
      <c r="A31" t="s">
        <v>96</v>
      </c>
      <c r="B31" s="14" t="s">
        <v>100</v>
      </c>
      <c r="C31" t="str">
        <f>'Project Plan'!A34</f>
        <v>Establish healthspan and healthy aging cohort</v>
      </c>
      <c r="D31" t="str">
        <f>'Project Plan'!B34</f>
        <v>TSET Hubs staff</v>
      </c>
      <c r="E31" s="12">
        <f>'Project Plan'!C34</f>
        <v>46388</v>
      </c>
      <c r="F31" s="12">
        <f>'Project Plan'!D34</f>
        <v>46752</v>
      </c>
      <c r="G31" s="12" t="str">
        <f>'Project Plan'!E34</f>
        <v>n/a</v>
      </c>
      <c r="H31" s="12" t="str">
        <f>'Project Plan'!F34</f>
        <v>n/a</v>
      </c>
      <c r="I31" t="str">
        <f>'Project Plan'!G34</f>
        <v>Not Started</v>
      </c>
      <c r="J31" t="str">
        <f>'Project Plan'!H34</f>
        <v>To include partial TSET funding support for HPH Director and Project Manager</v>
      </c>
    </row>
    <row r="32" spans="1:10" x14ac:dyDescent="0.25">
      <c r="A32" t="s">
        <v>96</v>
      </c>
      <c r="B32" s="14" t="s">
        <v>100</v>
      </c>
      <c r="C32" t="str">
        <f>'Project Plan'!A35</f>
        <v>Recruit and onboard telehealth and mobile outreach sites</v>
      </c>
      <c r="D32" t="str">
        <f>'Project Plan'!B35</f>
        <v>TSET Hubs staff</v>
      </c>
      <c r="E32" s="12">
        <f>'Project Plan'!C35</f>
        <v>46388</v>
      </c>
      <c r="F32" s="12">
        <f>'Project Plan'!D35</f>
        <v>46752</v>
      </c>
      <c r="G32" s="12" t="str">
        <f>'Project Plan'!E35</f>
        <v>n/a</v>
      </c>
      <c r="H32" s="12" t="str">
        <f>'Project Plan'!F35</f>
        <v>n/a</v>
      </c>
      <c r="I32" t="str">
        <f>'Project Plan'!G35</f>
        <v>Not Started</v>
      </c>
      <c r="J32" t="str">
        <f>'Project Plan'!H35</f>
        <v>TSET funding will be used to support rural practice telehealth and clinical research training workshops</v>
      </c>
    </row>
    <row r="33" spans="1:10" x14ac:dyDescent="0.25">
      <c r="A33" t="s">
        <v>96</v>
      </c>
      <c r="B33" s="14" t="s">
        <v>100</v>
      </c>
      <c r="C33" t="str">
        <f>'Project Plan'!A36</f>
        <v>Implement participant testing</v>
      </c>
      <c r="D33" t="str">
        <f>'Project Plan'!B36</f>
        <v>TEST Hubs staff</v>
      </c>
      <c r="E33" s="12">
        <f>'Project Plan'!C36</f>
        <v>46388</v>
      </c>
      <c r="F33" s="12">
        <f>'Project Plan'!D36</f>
        <v>46752</v>
      </c>
      <c r="G33" s="12" t="str">
        <f>'Project Plan'!E36</f>
        <v>n/a</v>
      </c>
      <c r="H33" s="12" t="str">
        <f>'Project Plan'!F36</f>
        <v>n/a</v>
      </c>
      <c r="I33" t="str">
        <f>'Project Plan'!G36</f>
        <v>Not Started</v>
      </c>
      <c r="J33">
        <f>'Project Plan'!H36</f>
        <v>0</v>
      </c>
    </row>
    <row r="34" spans="1:10" x14ac:dyDescent="0.25">
      <c r="A34" t="s">
        <v>96</v>
      </c>
      <c r="B34" s="14" t="s">
        <v>100</v>
      </c>
      <c r="C34" t="str">
        <f>'Project Plan'!A37</f>
        <v>Establish and launch community engagement and outreach plan</v>
      </c>
      <c r="D34" t="str">
        <f>'Project Plan'!B37</f>
        <v>TSET Hubs staff</v>
      </c>
      <c r="E34" s="12">
        <f>'Project Plan'!C37</f>
        <v>46388</v>
      </c>
      <c r="F34" s="12">
        <f>'Project Plan'!D37</f>
        <v>46752</v>
      </c>
      <c r="G34" s="12" t="str">
        <f>'Project Plan'!E37</f>
        <v>n/a</v>
      </c>
      <c r="H34" s="12" t="str">
        <f>'Project Plan'!F37</f>
        <v>n/a</v>
      </c>
      <c r="I34" t="str">
        <f>'Project Plan'!G37</f>
        <v>Not Started</v>
      </c>
      <c r="J34" t="str">
        <f>'Project Plan'!H37</f>
        <v>TSET funding will be used to support patient education programs</v>
      </c>
    </row>
    <row r="35" spans="1:10" x14ac:dyDescent="0.25">
      <c r="A35" t="s">
        <v>96</v>
      </c>
      <c r="B35" s="14" t="s">
        <v>100</v>
      </c>
      <c r="C35" t="str">
        <f>'Project Plan'!A38</f>
        <v>Establish participant database</v>
      </c>
      <c r="D35" t="str">
        <f>'Project Plan'!B38</f>
        <v>TSET Hubs staff</v>
      </c>
      <c r="E35" s="12">
        <f>'Project Plan'!C38</f>
        <v>46388</v>
      </c>
      <c r="F35" s="12">
        <f>'Project Plan'!D38</f>
        <v>46752</v>
      </c>
      <c r="G35" s="12" t="str">
        <f>'Project Plan'!E38</f>
        <v>n/a</v>
      </c>
      <c r="H35" s="12" t="str">
        <f>'Project Plan'!F38</f>
        <v>n/a</v>
      </c>
      <c r="I35" t="str">
        <f>'Project Plan'!G38</f>
        <v>Not Started</v>
      </c>
      <c r="J35">
        <f>'Project Plan'!H38</f>
        <v>0</v>
      </c>
    </row>
    <row r="36" spans="1:10" x14ac:dyDescent="0.25">
      <c r="A36" t="s">
        <v>97</v>
      </c>
      <c r="B36" s="14" t="s">
        <v>100</v>
      </c>
      <c r="C36" t="str" cm="1">
        <f t="array" ref="C36:C39">'Project Plan'!A41:A44</f>
        <v>Build healthy aging cohort</v>
      </c>
      <c r="D36" t="str" cm="1">
        <f t="array" ref="D36:D39">'Project Plan'!B41:B44</f>
        <v>TSET Hubs staff</v>
      </c>
      <c r="E36" s="13" cm="1">
        <f t="array" ref="E36:E39">'Project Plan'!C41:C44</f>
        <v>46753</v>
      </c>
      <c r="F36" s="13" cm="1">
        <f t="array" ref="F36:F39">'Project Plan'!D41:D44</f>
        <v>47118</v>
      </c>
      <c r="G36" s="12" t="str" cm="1">
        <f t="array" ref="G36:G39">'Project Plan'!E41:E44</f>
        <v>n/a</v>
      </c>
      <c r="H36" s="12" t="str" cm="1">
        <f t="array" ref="H36:H39">'Project Plan'!F41:F44</f>
        <v>n/a</v>
      </c>
      <c r="I36" t="str" cm="1">
        <f t="array" ref="I36:I39">'Project Plan'!G41:G44</f>
        <v>Not Started</v>
      </c>
      <c r="J36" cm="1">
        <f t="array" ref="J36:J39">'Project Plan'!H41:H44</f>
        <v>0</v>
      </c>
    </row>
    <row r="37" spans="1:10" x14ac:dyDescent="0.25">
      <c r="A37" t="s">
        <v>97</v>
      </c>
      <c r="B37" s="14" t="s">
        <v>100</v>
      </c>
      <c r="C37" t="str">
        <v>Conduct clinical trials</v>
      </c>
      <c r="D37" t="str">
        <v>TSET Hubs staff</v>
      </c>
      <c r="E37" s="13">
        <v>46753</v>
      </c>
      <c r="F37" s="13">
        <v>47118</v>
      </c>
      <c r="G37" s="12" t="str">
        <v>n/a</v>
      </c>
      <c r="H37" s="12" t="str">
        <v>n/a</v>
      </c>
      <c r="I37" t="str">
        <v>Not Started</v>
      </c>
      <c r="J37">
        <v>0</v>
      </c>
    </row>
    <row r="38" spans="1:10" x14ac:dyDescent="0.25">
      <c r="A38" t="s">
        <v>97</v>
      </c>
      <c r="B38" s="14" t="s">
        <v>100</v>
      </c>
      <c r="C38" t="str">
        <v>Continue community engagement and mobile outreach</v>
      </c>
      <c r="D38" t="str">
        <v>TSET Hubs staff</v>
      </c>
      <c r="E38" s="13">
        <v>46753</v>
      </c>
      <c r="F38" s="13">
        <v>47118</v>
      </c>
      <c r="G38" s="12" t="str">
        <v>n/a</v>
      </c>
      <c r="H38" s="12" t="str">
        <v>n/a</v>
      </c>
      <c r="I38" t="str">
        <v>Not Started</v>
      </c>
      <c r="J38" t="str">
        <v>TSET funding support for TDT Coordinator OCTSI Community Engagement Services (OPHIC), rural practice telehealth and clinical research training workshops and  support patient education programs</v>
      </c>
    </row>
    <row r="39" spans="1:10" x14ac:dyDescent="0.25">
      <c r="A39" t="s">
        <v>97</v>
      </c>
      <c r="B39" s="14" t="s">
        <v>100</v>
      </c>
      <c r="C39" t="str">
        <v>Conduct patient education</v>
      </c>
      <c r="D39" t="str">
        <v>TSET Hubs staff</v>
      </c>
      <c r="E39" s="13">
        <v>46388</v>
      </c>
      <c r="F39" s="13">
        <v>47118</v>
      </c>
      <c r="G39" s="12" t="str">
        <v>n/a</v>
      </c>
      <c r="H39" s="12" t="str">
        <v>n/a</v>
      </c>
      <c r="I39" t="str">
        <v>Not Started</v>
      </c>
      <c r="J39">
        <v>0</v>
      </c>
    </row>
  </sheetData>
  <phoneticPr fontId="23"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Flow_SignoffStatus xmlns="cdfb1375-c08a-44ea-a11d-0c8bbc6781b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8F8A9D9F6519C4F80DB6BC5D9F0A870" ma:contentTypeVersion="4" ma:contentTypeDescription="Create a new document." ma:contentTypeScope="" ma:versionID="9ca821d8540710f5d3f80549e658e849">
  <xsd:schema xmlns:xsd="http://www.w3.org/2001/XMLSchema" xmlns:xs="http://www.w3.org/2001/XMLSchema" xmlns:p="http://schemas.microsoft.com/office/2006/metadata/properties" xmlns:ns2="cdfb1375-c08a-44ea-a11d-0c8bbc6781b1" targetNamespace="http://schemas.microsoft.com/office/2006/metadata/properties" ma:root="true" ma:fieldsID="4d5e2e5dffc62b0f5b9562ef914d0bff" ns2:_="">
    <xsd:import namespace="cdfb1375-c08a-44ea-a11d-0c8bbc6781b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dfb1375-c08a-44ea-a11d-0c8bbc6781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_Flow_SignoffStatus" ma:index="11" nillable="true" ma:displayName="Sign-off status" ma:internalName="_x0024_Resources_x003a_core_x002c_Signoff_Status">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E5BF68D-A4B9-4398-82F1-4A64C8863E30}">
  <ds:schemaRefs>
    <ds:schemaRef ds:uri="http://schemas.microsoft.com/sharepoint/v3/contenttype/forms"/>
  </ds:schemaRefs>
</ds:datastoreItem>
</file>

<file path=customXml/itemProps2.xml><?xml version="1.0" encoding="utf-8"?>
<ds:datastoreItem xmlns:ds="http://schemas.openxmlformats.org/officeDocument/2006/customXml" ds:itemID="{8DC8B16F-8354-4BB2-8D20-77FC7C2DF1EE}">
  <ds:schemaRefs>
    <ds:schemaRef ds:uri="http://schemas.microsoft.com/office/2006/metadata/properties"/>
    <ds:schemaRef ds:uri="http://schemas.microsoft.com/office/infopath/2007/PartnerControls"/>
    <ds:schemaRef ds:uri="cdfb1375-c08a-44ea-a11d-0c8bbc6781b1"/>
  </ds:schemaRefs>
</ds:datastoreItem>
</file>

<file path=customXml/itemProps3.xml><?xml version="1.0" encoding="utf-8"?>
<ds:datastoreItem xmlns:ds="http://schemas.openxmlformats.org/officeDocument/2006/customXml" ds:itemID="{FC631808-D2A4-458D-963A-3F40DF0A11C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dfb1375-c08a-44ea-a11d-0c8bbc6781b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Instructions</vt:lpstr>
      <vt:lpstr>Project Plan</vt:lpstr>
      <vt:lpstr>Dashboard_Data</vt:lpstr>
      <vt:lpstr>'Project Plan'!Print_Area</vt:lpstr>
    </vt:vector>
  </TitlesOfParts>
  <Manager/>
  <Company>Charles Schwab &amp; Co. Inc., (Pro11_v.3.MST - 100104)</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SchwabXP release 4.0</dc:creator>
  <cp:keywords/>
  <dc:description/>
  <cp:lastModifiedBy>Caleb Marlin</cp:lastModifiedBy>
  <cp:revision/>
  <cp:lastPrinted>2026-09-30T13:18:27Z</cp:lastPrinted>
  <dcterms:created xsi:type="dcterms:W3CDTF">2008-01-16T16:27:25Z</dcterms:created>
  <dcterms:modified xsi:type="dcterms:W3CDTF">2026-10-02T17:21:50Z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0x010100C8F8A9D9F6519C4F80DB6BC5D9F0A870</vt:lpwstr>
  </property>
</Properties>
</file>